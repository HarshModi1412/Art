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ybook" sheetId="1" state="visible" r:id="rId3"/>
    <sheet name="Prospect Tracker"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<sst xmlns="http://schemas.openxmlformats.org/spreadsheetml/2006/main" count="67" uniqueCount="65">
  <si>
    <t xml:space="preserve">One Tap Manager — Instagram prospecting kit</t>
  </si>
  <si>
    <t xml:space="preserve">A compliant, run-it-yourself system for finding the sellers this platform is built for. No scraping, no bans. Fill the Prospect Tracker tab as you browse; the fit score and priority fill themselves.</t>
  </si>
  <si>
    <t xml:space="preserve">Who we are looking for (from the Brand Guide)</t>
  </si>
  <si>
    <t xml:space="preserve">Ideal seller</t>
  </si>
  <si>
    <t xml:space="preserve">A one or two person direct-to-consumer shop in India selling physical goods: most often clothes, jewellery or perfume, and increasingly beauty, food and small lifestyle items. Real sales already, small team, time is their scarcest thing.</t>
  </si>
  <si>
    <t xml:space="preserve">Not for us</t>
  </si>
  <si>
    <t xml:space="preserve">Enterprises, multi-warehouse or manufacturing brands, anyone with a finance team, and large brands that already run on a full stack. If it looks like a team of ten, skip it.</t>
  </si>
  <si>
    <t xml:space="preserve">The wedge</t>
  </si>
  <si>
    <t xml:space="preserve">Analytics is free forever and does not ask them to change how they sell. That is the opening line, not the price.</t>
  </si>
  <si>
    <t xml:space="preserve">Where to find them (all within Instagram's and Meta's rules)</t>
  </si>
  <si>
    <t xml:space="preserve">1. Hashtag + city</t>
  </si>
  <si>
    <t xml:space="preserve">Search category tags crossed with a city: #handmadejewellery, #sareelove, #indieperfume, #d2cindia, #smallbusinessindia, #jaipurjewellery, #suratsaree. Open recent posts, not top posts, so the account is active.</t>
  </si>
  <si>
    <t xml:space="preserve">2. Related accounts</t>
  </si>
  <si>
    <t xml:space="preserve">On any good-fit profile, tap the account-suggestions arrow. Instagram hands you ten more just like it. This is the fastest honest way to go from one to fifty.</t>
  </si>
  <si>
    <t xml:space="preserve">3. Reels</t>
  </si>
  <si>
    <t xml:space="preserve">Category Reels surface small sellers who post often, which is exactly the alive signal we want.</t>
  </si>
  <si>
    <t xml:space="preserve">4. Meta Ad Library</t>
  </si>
  <si>
    <t xml:space="preserve">facebook.com/ads/library, filter India. Anyone advertising has budget and intent, so they are a warmer lead. Public and allowed to browse.</t>
  </si>
  <si>
    <t xml:space="preserve">5. Marketplaces</t>
  </si>
  <si>
    <t xml:space="preserve">Amazon Karigar, Flipkart Samarth, Meesho and Myntra seller storefronts list small brands, many of whom also sell on Instagram. Match the name.</t>
  </si>
  <si>
    <t xml:space="preserve">6. Official API (later)</t>
  </si>
  <si>
    <t xml:space="preserve">If you want to semi-automate, the Instagram Graph API Business Discovery endpoint returns public business-account data within Meta's rules. That is the only automated route that does not risk a ban.</t>
  </si>
  <si>
    <t xml:space="preserve">How to qualify each one</t>
  </si>
  <si>
    <t xml:space="preserve">Alive</t>
  </si>
  <si>
    <t xml:space="preserve">Last post within 30 days. The tracker flags this for you. A dead account never replies.</t>
  </si>
  <si>
    <t xml:space="preserve">Category fit</t>
  </si>
  <si>
    <t xml:space="preserve">Clothing, jewellery, perfume, beauty or food. Anything else, note it and lower the score.</t>
  </si>
  <si>
    <t xml:space="preserve">Size</t>
  </si>
  <si>
    <t xml:space="preserve">Roughly 1,000 to 50,000 followers is the sweet spot for a one-person shop. Above 150,000 usually means a team, which is not our buyer.</t>
  </si>
  <si>
    <t xml:space="preserve">Site status</t>
  </si>
  <si>
    <t xml:space="preserve">Where the bio link goes. Nothing, a WhatsApp link, or a Linktree is the strongest fit, because our free storefront is what they are missing. A real Shopify or own domain is still a fit for analytics and win-back, just less urgent.</t>
  </si>
  <si>
    <t xml:space="preserve">Ads active</t>
  </si>
  <si>
    <t xml:space="preserve">Seen in the Ad Library. A yes means budget and intent.</t>
  </si>
  <si>
    <t xml:space="preserve">First message (in the brand voice, ready to personalise)</t>
  </si>
  <si>
    <t xml:space="preserve">Instagram DM</t>
  </si>
  <si>
    <t xml:space="preserve">Hi [name], your [product] posts are lovely, the [specific thing] especially. Quick one: you are already making sales on Instagram and your counter, but is anyone reading those sales back to you, who stopped buying, what to reorder, what to post next? That is the whole job One Tap Manager does for a one-person shop, and the analytics is free forever. Happy to show you your own numbers in about two minutes, no card. Worth a look?</t>
  </si>
  <si>
    <t xml:space="preserve">Rules: personalise the two brackets from a real post before sending. No emoji, no exclamation marks, no invented claims. One follow-up after four days if no reply, then leave it.</t>
  </si>
  <si>
    <t xml:space="preserve">Fit score, and how the tracker computes it</t>
  </si>
  <si>
    <t xml:space="preserve">Score out of 100</t>
  </si>
  <si>
    <t xml:space="preserve">Category fit 25 + site status (none or link-in-bio 30, own site 15) + follower sweet spot 25 + ads active 20. An account that is not alive scores 0, because there is no point writing to it.</t>
  </si>
  <si>
    <t xml:space="preserve">Priority</t>
  </si>
  <si>
    <t xml:space="preserve">75 and above is High, 50 to 74 is Medium, 1 to 49 is Low, 0 is Skip. Work High first.</t>
  </si>
  <si>
    <t xml:space="preserve">Target</t>
  </si>
  <si>
    <t xml:space="preserve">Aim to log around 100 qualified rows, then send to the High and Medium ones. Quality of the fit beats the count.</t>
  </si>
  <si>
    <t xml:space="preserve">Handle (@)</t>
  </si>
  <si>
    <t xml:space="preserve">Business name</t>
  </si>
  <si>
    <t xml:space="preserve">Category</t>
  </si>
  <si>
    <t xml:space="preserve">City</t>
  </si>
  <si>
    <t xml:space="preserve">Followers</t>
  </si>
  <si>
    <t xml:space="preserve">Last post date</t>
  </si>
  <si>
    <t xml:space="preserve">Days since</t>
  </si>
  <si>
    <t xml:space="preserve">Alive?</t>
  </si>
  <si>
    <t xml:space="preserve">Ads active?</t>
  </si>
  <si>
    <t xml:space="preserve">Fit score</t>
  </si>
  <si>
    <t xml:space="preserve">DM sent</t>
  </si>
  <si>
    <t xml:space="preserve">Replied?</t>
  </si>
  <si>
    <t xml:space="preserve">Notes</t>
  </si>
  <si>
    <t xml:space="preserve">@example.jaipur.jewels</t>
  </si>
  <si>
    <t xml:space="preserve">Example Jaipur Jewels</t>
  </si>
  <si>
    <t xml:space="preserve">Jewellery</t>
  </si>
  <si>
    <t xml:space="preserve">Jaipur</t>
  </si>
  <si>
    <t xml:space="preserve">Link-in-bio</t>
  </si>
  <si>
    <t xml:space="preserve">Yes</t>
  </si>
  <si>
    <t xml:space="preserve">No</t>
  </si>
  <si>
    <t xml:space="preserve">EXAMPLE ROW — overwrite or delete. Fill the blue-ish input columns; grey columns compute themselves.</t>
  </si>
</sst>
</file>

<file path=xl/styles.xml><?xml version="1.0" encoding="utf-8"?>
<styleSheet xmlns="http://schemas.openxmlformats.org/spreadsheetml/2006/main">
  <numFmts count="4">
    <numFmt numFmtId="164" formatCode="General"/>
    <numFmt numFmtId="165" formatCode="dd\ mmm\ yyyy"/>
    <numFmt numFmtId="166" formatCode="General"/>
    <numFmt numFmtId="167" formatCode="#,##0"/>
  </numFmts>
  <fonts count="13">
    <font>
      <sz val="11"/>
      <color theme="1"/>
      <name val="Calibri"/>
      <family val="2"/>
      <charset val="1"/>
    </font>
    <font>
      <sz val="10"/>
      <name val="Arial"/>
      <family val="0"/>
    </font>
    <font>
      <sz val="10"/>
      <name val="Arial"/>
      <family val="0"/>
    </font>
    <font>
      <sz val="10"/>
      <name val="Arial"/>
      <family val="0"/>
    </font>
    <font>
      <b val="true"/>
      <sz val="18"/>
      <color rgb="FF5C6790"/>
      <name val="Arial"/>
      <family val="0"/>
      <charset val="1"/>
    </font>
    <font>
      <sz val="11"/>
      <color rgb="FF454A54"/>
      <name val="Arial"/>
      <family val="0"/>
      <charset val="1"/>
    </font>
    <font>
      <b val="true"/>
      <sz val="13"/>
      <color rgb="FF1A1C21"/>
      <name val="Arial"/>
      <family val="0"/>
      <charset val="1"/>
    </font>
    <font>
      <sz val="11"/>
      <color rgb="FF1A1C21"/>
      <name val="Arial"/>
      <family val="0"/>
      <charset val="1"/>
    </font>
    <font>
      <b val="true"/>
      <sz val="11"/>
      <color rgb="FF5C6790"/>
      <name val="Arial"/>
      <family val="0"/>
      <charset val="1"/>
    </font>
    <font>
      <i val="true"/>
      <sz val="11"/>
      <color rgb="FF6B7280"/>
      <name val="Arial"/>
      <family val="0"/>
      <charset val="1"/>
    </font>
    <font>
      <b val="true"/>
      <sz val="11"/>
      <color rgb="FFFFFFFF"/>
      <name val="Arial"/>
      <family val="0"/>
      <charset val="1"/>
    </font>
    <font>
      <sz val="10"/>
      <color rgb="FF6B7280"/>
      <name val="Arial"/>
      <family val="0"/>
      <charset val="1"/>
    </font>
    <font>
      <sz val="10"/>
      <color rgb="FF1A1C21"/>
      <name val="Arial"/>
      <family val="0"/>
      <charset val="1"/>
    </font>
  </fonts>
  <fills count="6">
    <fill>
      <patternFill patternType="none"/>
    </fill>
    <fill>
      <patternFill patternType="gray125"/>
    </fill>
    <fill>
      <patternFill patternType="solid">
        <fgColor rgb="FFF3F4F8"/>
        <bgColor rgb="FFFAFAFC"/>
      </patternFill>
    </fill>
    <fill>
      <patternFill patternType="solid">
        <fgColor rgb="FF5C6790"/>
        <bgColor rgb="FF6B7280"/>
      </patternFill>
    </fill>
    <fill>
      <patternFill patternType="solid">
        <fgColor rgb="FFFFF6CC"/>
        <bgColor rgb="FFF3F4F8"/>
      </patternFill>
    </fill>
    <fill>
      <patternFill patternType="solid">
        <fgColor rgb="FFFAFAF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2" borderId="0" xfId="0" applyFont="true" applyBorder="false" applyAlignment="true" applyProtection="false">
      <alignment horizontal="left" vertical="top" textRotation="0" wrapText="false" indent="0" shrinkToFit="false"/>
      <protection locked="true" hidden="false"/>
    </xf>
    <xf numFmtId="164" fontId="7" fillId="2" borderId="0" xfId="0" applyFont="true" applyBorder="false" applyAlignment="true" applyProtection="false">
      <alignment horizontal="left" vertical="top"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fals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10" fillId="3" borderId="0" xfId="0" applyFont="true" applyBorder="false" applyAlignment="true" applyProtection="false">
      <alignment horizontal="center" vertical="center" textRotation="0" wrapText="true" indent="0" shrinkToFit="false"/>
      <protection locked="true" hidden="false"/>
    </xf>
    <xf numFmtId="164" fontId="7" fillId="4" borderId="0" xfId="0" applyFont="true" applyBorder="false" applyAlignment="true" applyProtection="false">
      <alignment horizontal="left" vertical="top" textRotation="0" wrapText="false" indent="0" shrinkToFit="false"/>
      <protection locked="true" hidden="false"/>
    </xf>
    <xf numFmtId="165" fontId="7" fillId="4" borderId="0" xfId="0" applyFont="true" applyBorder="false" applyAlignment="true" applyProtection="false">
      <alignment horizontal="left" vertical="top" textRotation="0" wrapText="false" indent="0" shrinkToFit="false"/>
      <protection locked="true" hidden="false"/>
    </xf>
    <xf numFmtId="166" fontId="11" fillId="0" borderId="0" xfId="0" applyFont="true" applyBorder="false" applyAlignment="true" applyProtection="false">
      <alignment horizontal="center" vertical="center" textRotation="0" wrapText="false" indent="0" shrinkToFit="false"/>
      <protection locked="true" hidden="false"/>
    </xf>
    <xf numFmtId="164" fontId="7" fillId="4" borderId="0" xfId="0" applyFont="true" applyBorder="fals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7" fontId="12" fillId="0" borderId="0" xfId="0" applyFont="true" applyBorder="false" applyAlignment="true" applyProtection="false">
      <alignment horizontal="general" vertical="center" textRotation="0" wrapText="false" indent="0" shrinkToFit="false"/>
      <protection locked="true" hidden="false"/>
    </xf>
    <xf numFmtId="165" fontId="12" fillId="0"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2" fillId="5" borderId="0" xfId="0" applyFont="true" applyBorder="false" applyAlignment="true" applyProtection="false">
      <alignment horizontal="general" vertical="center" textRotation="0" wrapText="false" indent="0" shrinkToFit="false"/>
      <protection locked="true" hidden="false"/>
    </xf>
    <xf numFmtId="167" fontId="12" fillId="5" borderId="0" xfId="0" applyFont="true" applyBorder="false" applyAlignment="true" applyProtection="false">
      <alignment horizontal="general" vertical="center" textRotation="0" wrapText="false" indent="0" shrinkToFit="false"/>
      <protection locked="true" hidden="false"/>
    </xf>
    <xf numFmtId="165" fontId="12" fillId="5" borderId="0" xfId="0" applyFont="true" applyBorder="false" applyAlignment="true" applyProtection="false">
      <alignment horizontal="general" vertical="center" textRotation="0" wrapText="false" indent="0" shrinkToFit="false"/>
      <protection locked="true" hidden="false"/>
    </xf>
    <xf numFmtId="164" fontId="11" fillId="5" borderId="0" xfId="0" applyFont="true" applyBorder="false" applyAlignment="true" applyProtection="false">
      <alignment horizontal="center" vertical="center" textRotation="0" wrapText="false" indent="0" shrinkToFit="false"/>
      <protection locked="true" hidden="false"/>
    </xf>
    <xf numFmtId="164" fontId="12" fillId="5"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6B7280"/>
      <rgbColor rgb="FF9999FF"/>
      <rgbColor rgb="FF993366"/>
      <rgbColor rgb="FFFFF6CC"/>
      <rgbColor rgb="FFF3F4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AFAFC"/>
      <rgbColor rgb="FFCCFFCC"/>
      <rgbColor rgb="FFFFFF99"/>
      <rgbColor rgb="FF99CCFF"/>
      <rgbColor rgb="FFFF99CC"/>
      <rgbColor rgb="FFCC99FF"/>
      <rgbColor rgb="FFFFCC99"/>
      <rgbColor rgb="FF3366FF"/>
      <rgbColor rgb="FF33CCCC"/>
      <rgbColor rgb="FF99CC00"/>
      <rgbColor rgb="FFFFCC00"/>
      <rgbColor rgb="FFFF9900"/>
      <rgbColor rgb="FFFF6600"/>
      <rgbColor rgb="FF5C6790"/>
      <rgbColor rgb="FF969696"/>
      <rgbColor rgb="FF003366"/>
      <rgbColor rgb="FF339966"/>
      <rgbColor rgb="FF003300"/>
      <rgbColor rgb="FF1A1C21"/>
      <rgbColor rgb="FF993300"/>
      <rgbColor rgb="FF993366"/>
      <rgbColor rgb="FF333399"/>
      <rgbColor rgb="FF454A5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92"/>
  </cols>
  <sheetData>
    <row r="2" customFormat="false" ht="22.05" hidden="false" customHeight="false" outlineLevel="0" collapsed="false">
      <c r="B2" s="1" t="s">
        <v>0</v>
      </c>
    </row>
    <row r="3" customFormat="false" ht="30" hidden="false" customHeight="true" outlineLevel="0" collapsed="false">
      <c r="B3" s="2" t="s">
        <v>1</v>
      </c>
      <c r="C3" s="2"/>
    </row>
    <row r="5" customFormat="false" ht="16.15" hidden="false" customHeight="false" outlineLevel="0" collapsed="false">
      <c r="B5" s="3" t="s">
        <v>2</v>
      </c>
      <c r="C5" s="4"/>
    </row>
    <row r="6" customFormat="false" ht="45" hidden="false" customHeight="true" outlineLevel="0" collapsed="false">
      <c r="B6" s="5" t="s">
        <v>3</v>
      </c>
      <c r="C6" s="6" t="s">
        <v>4</v>
      </c>
    </row>
    <row r="7" customFormat="false" ht="30" hidden="false" customHeight="true" outlineLevel="0" collapsed="false">
      <c r="B7" s="5" t="s">
        <v>5</v>
      </c>
      <c r="C7" s="6" t="s">
        <v>6</v>
      </c>
    </row>
    <row r="8" customFormat="false" ht="30" hidden="false" customHeight="true" outlineLevel="0" collapsed="false">
      <c r="B8" s="5" t="s">
        <v>7</v>
      </c>
      <c r="C8" s="6" t="s">
        <v>8</v>
      </c>
    </row>
    <row r="10" customFormat="false" ht="16.15" hidden="false" customHeight="false" outlineLevel="0" collapsed="false">
      <c r="B10" s="3" t="s">
        <v>9</v>
      </c>
      <c r="C10" s="4"/>
    </row>
    <row r="11" customFormat="false" ht="45" hidden="false" customHeight="true" outlineLevel="0" collapsed="false">
      <c r="B11" s="5" t="s">
        <v>10</v>
      </c>
      <c r="C11" s="6" t="s">
        <v>11</v>
      </c>
    </row>
    <row r="12" customFormat="false" ht="30" hidden="false" customHeight="true" outlineLevel="0" collapsed="false">
      <c r="B12" s="5" t="s">
        <v>12</v>
      </c>
      <c r="C12" s="6" t="s">
        <v>13</v>
      </c>
    </row>
    <row r="13" customFormat="false" ht="30" hidden="false" customHeight="true" outlineLevel="0" collapsed="false">
      <c r="B13" s="5" t="s">
        <v>14</v>
      </c>
      <c r="C13" s="6" t="s">
        <v>15</v>
      </c>
    </row>
    <row r="14" customFormat="false" ht="30" hidden="false" customHeight="true" outlineLevel="0" collapsed="false">
      <c r="B14" s="5" t="s">
        <v>16</v>
      </c>
      <c r="C14" s="6" t="s">
        <v>17</v>
      </c>
    </row>
    <row r="15" customFormat="false" ht="30" hidden="false" customHeight="true" outlineLevel="0" collapsed="false">
      <c r="B15" s="5" t="s">
        <v>18</v>
      </c>
      <c r="C15" s="6" t="s">
        <v>19</v>
      </c>
    </row>
    <row r="16" customFormat="false" ht="45" hidden="false" customHeight="true" outlineLevel="0" collapsed="false">
      <c r="B16" s="5" t="s">
        <v>20</v>
      </c>
      <c r="C16" s="6" t="s">
        <v>21</v>
      </c>
    </row>
    <row r="18" customFormat="false" ht="16.15" hidden="false" customHeight="false" outlineLevel="0" collapsed="false">
      <c r="B18" s="3" t="s">
        <v>22</v>
      </c>
      <c r="C18" s="4"/>
    </row>
    <row r="19" customFormat="false" ht="15" hidden="false" customHeight="true" outlineLevel="0" collapsed="false">
      <c r="B19" s="5" t="s">
        <v>23</v>
      </c>
      <c r="C19" s="6" t="s">
        <v>24</v>
      </c>
    </row>
    <row r="20" customFormat="false" ht="15" hidden="false" customHeight="true" outlineLevel="0" collapsed="false">
      <c r="B20" s="5" t="s">
        <v>25</v>
      </c>
      <c r="C20" s="6" t="s">
        <v>26</v>
      </c>
    </row>
    <row r="21" customFormat="false" ht="30" hidden="false" customHeight="true" outlineLevel="0" collapsed="false">
      <c r="B21" s="5" t="s">
        <v>27</v>
      </c>
      <c r="C21" s="6" t="s">
        <v>28</v>
      </c>
    </row>
    <row r="22" customFormat="false" ht="45" hidden="false" customHeight="true" outlineLevel="0" collapsed="false">
      <c r="B22" s="5" t="s">
        <v>29</v>
      </c>
      <c r="C22" s="6" t="s">
        <v>30</v>
      </c>
    </row>
    <row r="23" customFormat="false" ht="15" hidden="false" customHeight="true" outlineLevel="0" collapsed="false">
      <c r="B23" s="5" t="s">
        <v>31</v>
      </c>
      <c r="C23" s="6" t="s">
        <v>32</v>
      </c>
    </row>
    <row r="25" customFormat="false" ht="16.15" hidden="false" customHeight="false" outlineLevel="0" collapsed="false">
      <c r="B25" s="3" t="s">
        <v>33</v>
      </c>
      <c r="C25" s="4"/>
    </row>
    <row r="26" customFormat="false" ht="75" hidden="false" customHeight="true" outlineLevel="0" collapsed="false">
      <c r="B26" s="7" t="s">
        <v>34</v>
      </c>
      <c r="C26" s="6" t="s">
        <v>35</v>
      </c>
    </row>
    <row r="27" customFormat="false" ht="30" hidden="false" customHeight="true" outlineLevel="0" collapsed="false">
      <c r="C27" s="8" t="s">
        <v>36</v>
      </c>
    </row>
    <row r="29" customFormat="false" ht="16.15" hidden="false" customHeight="false" outlineLevel="0" collapsed="false">
      <c r="B29" s="3" t="s">
        <v>37</v>
      </c>
      <c r="C29" s="4"/>
    </row>
    <row r="30" customFormat="false" ht="30" hidden="false" customHeight="true" outlineLevel="0" collapsed="false">
      <c r="B30" s="5" t="s">
        <v>38</v>
      </c>
      <c r="C30" s="6" t="s">
        <v>39</v>
      </c>
    </row>
    <row r="31" customFormat="false" ht="15" hidden="false" customHeight="true" outlineLevel="0" collapsed="false">
      <c r="B31" s="5" t="s">
        <v>40</v>
      </c>
      <c r="C31" s="6" t="s">
        <v>41</v>
      </c>
    </row>
    <row r="32" customFormat="false" ht="30" hidden="false" customHeight="true" outlineLevel="0" collapsed="false">
      <c r="B32" s="5" t="s">
        <v>42</v>
      </c>
      <c r="C32" s="6" t="s">
        <v>43</v>
      </c>
    </row>
  </sheetData>
  <mergeCells count="1">
    <mergeCell ref="B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3" min="3" style="0" width="13"/>
    <col collapsed="false" customWidth="true" hidden="false" outlineLevel="0" max="4" min="4" style="0" width="14"/>
    <col collapsed="false" customWidth="true" hidden="false" outlineLevel="0" max="5" min="5" style="0" width="11"/>
    <col collapsed="false" customWidth="true" hidden="false" outlineLevel="0" max="6" min="6" style="0" width="14"/>
    <col collapsed="false" customWidth="true" hidden="false" outlineLevel="0" max="7" min="7" style="0" width="11"/>
    <col collapsed="false" customWidth="true" hidden="false" outlineLevel="0" max="8" min="8" style="0" width="9"/>
    <col collapsed="false" customWidth="true" hidden="false" outlineLevel="0" max="9" min="9" style="0" width="15"/>
    <col collapsed="false" customWidth="true" hidden="false" outlineLevel="0" max="10" min="10" style="0" width="12"/>
    <col collapsed="false" customWidth="true" hidden="false" outlineLevel="0" max="11" min="11" style="0" width="10"/>
    <col collapsed="false" customWidth="true" hidden="false" outlineLevel="0" max="12" min="12" style="0" width="11"/>
    <col collapsed="false" customWidth="true" hidden="false" outlineLevel="0" max="13" min="13" style="0" width="12"/>
    <col collapsed="false" customWidth="true" hidden="false" outlineLevel="0" max="14" min="14" style="0" width="10"/>
    <col collapsed="false" customWidth="true" hidden="false" outlineLevel="0" max="15" min="15" style="0" width="34"/>
  </cols>
  <sheetData>
    <row r="1" customFormat="false" ht="30" hidden="false" customHeight="true" outlineLevel="0" collapsed="false">
      <c r="A1" s="9" t="s">
        <v>44</v>
      </c>
      <c r="B1" s="9" t="s">
        <v>45</v>
      </c>
      <c r="C1" s="9" t="s">
        <v>46</v>
      </c>
      <c r="D1" s="9" t="s">
        <v>47</v>
      </c>
      <c r="E1" s="9" t="s">
        <v>48</v>
      </c>
      <c r="F1" s="9" t="s">
        <v>49</v>
      </c>
      <c r="G1" s="9" t="s">
        <v>50</v>
      </c>
      <c r="H1" s="9" t="s">
        <v>51</v>
      </c>
      <c r="I1" s="9" t="s">
        <v>29</v>
      </c>
      <c r="J1" s="9" t="s">
        <v>52</v>
      </c>
      <c r="K1" s="9" t="s">
        <v>53</v>
      </c>
      <c r="L1" s="9" t="s">
        <v>40</v>
      </c>
      <c r="M1" s="9" t="s">
        <v>54</v>
      </c>
      <c r="N1" s="9" t="s">
        <v>55</v>
      </c>
      <c r="O1" s="9" t="s">
        <v>56</v>
      </c>
    </row>
    <row r="2" customFormat="false" ht="27.75" hidden="false" customHeight="true" outlineLevel="0" collapsed="false">
      <c r="A2" s="10" t="s">
        <v>57</v>
      </c>
      <c r="B2" s="10" t="s">
        <v>58</v>
      </c>
      <c r="C2" s="10" t="s">
        <v>59</v>
      </c>
      <c r="D2" s="10" t="s">
        <v>60</v>
      </c>
      <c r="E2" s="10" t="n">
        <v>8200</v>
      </c>
      <c r="F2" s="11" t="n">
        <v>46278</v>
      </c>
      <c r="G2" s="12" t="n">
        <f aca="true">IF($A2="","",IF($F2="","",TODAY()-$F2))</f>
        <v>6</v>
      </c>
      <c r="H2" s="12" t="str">
        <f aca="false">IF($A2="","",IF($F2="","",IF($G2&lt;=30,"Yes","No")))</f>
        <v>Yes</v>
      </c>
      <c r="I2" s="10" t="s">
        <v>61</v>
      </c>
      <c r="J2" s="10" t="s">
        <v>62</v>
      </c>
      <c r="K2" s="12" t="n">
        <f aca="false">IF($A2="","",IF($H2&lt;&gt;"Yes",0,IF(OR($C2="Clothing",$C2="Jewellery",$C2="Perfume",$C2="Beauty",$C2="Food"),25,0)+IF($I2="None",30,IF($I2="Link-in-bio",30,IF($I2="Own site",15,0)))+IF($E2="",10,IF($E2&lt;1000,10,IF($E2&lt;=50000,25,IF($E2&lt;=150000,15,5))))+IF($J2="Yes",20,0)))</f>
        <v>100</v>
      </c>
      <c r="L2" s="12" t="str">
        <f aca="false">IF($A2="","",IF($K2&gt;=75,"High",IF($K2&gt;=50,"Medium",IF($K2=0,"Skip","Low"))))</f>
        <v>High</v>
      </c>
      <c r="M2" s="11"/>
      <c r="N2" s="10" t="s">
        <v>63</v>
      </c>
      <c r="O2" s="13" t="s">
        <v>64</v>
      </c>
    </row>
    <row r="3" customFormat="false" ht="15" hidden="false" customHeight="false" outlineLevel="0" collapsed="false">
      <c r="A3" s="14"/>
      <c r="B3" s="14"/>
      <c r="C3" s="14"/>
      <c r="D3" s="14"/>
      <c r="E3" s="15"/>
      <c r="F3" s="16"/>
      <c r="G3" s="12" t="str">
        <f aca="true">IF($A3="","",IF($F3="","",TODAY()-$F3))</f>
        <v/>
      </c>
      <c r="H3" s="12" t="str">
        <f aca="false">IF($A3="","",IF($F3="","",IF($G3&lt;=30,"Yes","No")))</f>
        <v/>
      </c>
      <c r="I3" s="14"/>
      <c r="J3" s="14"/>
      <c r="K3" s="12" t="str">
        <f aca="false">IF($A3="","",IF($H3&lt;&gt;"Yes",0,IF(OR($C3="Clothing",$C3="Jewellery",$C3="Perfume",$C3="Beauty",$C3="Food"),25,0)+IF($I3="None",30,IF($I3="Link-in-bio",30,IF($I3="Own site",15,0)))+IF($E3="",10,IF($E3&lt;1000,10,IF($E3&lt;=50000,25,IF($E3&lt;=150000,15,5))))+IF($J3="Yes",20,0)))</f>
        <v/>
      </c>
      <c r="L3" s="12" t="str">
        <f aca="false">IF($A3="","",IF($K3&gt;=75,"High",IF($K3&gt;=50,"Medium",IF($K3=0,"Skip","Low"))))</f>
        <v/>
      </c>
      <c r="M3" s="16"/>
      <c r="N3" s="14"/>
      <c r="O3" s="17"/>
    </row>
    <row r="4" customFormat="false" ht="15" hidden="false" customHeight="false" outlineLevel="0" collapsed="false">
      <c r="A4" s="18"/>
      <c r="B4" s="18"/>
      <c r="C4" s="18"/>
      <c r="D4" s="18"/>
      <c r="E4" s="19"/>
      <c r="F4" s="20"/>
      <c r="G4" s="21" t="str">
        <f aca="true">IF($A4="","",IF($F4="","",TODAY()-$F4))</f>
        <v/>
      </c>
      <c r="H4" s="21" t="str">
        <f aca="false">IF($A4="","",IF($F4="","",IF($G4&lt;=30,"Yes","No")))</f>
        <v/>
      </c>
      <c r="I4" s="18"/>
      <c r="J4" s="18"/>
      <c r="K4" s="21" t="str">
        <f aca="false">IF($A4="","",IF($H4&lt;&gt;"Yes",0,IF(OR($C4="Clothing",$C4="Jewellery",$C4="Perfume",$C4="Beauty",$C4="Food"),25,0)+IF($I4="None",30,IF($I4="Link-in-bio",30,IF($I4="Own site",15,0)))+IF($E4="",10,IF($E4&lt;1000,10,IF($E4&lt;=50000,25,IF($E4&lt;=150000,15,5))))+IF($J4="Yes",20,0)))</f>
        <v/>
      </c>
      <c r="L4" s="21" t="str">
        <f aca="false">IF($A4="","",IF($K4&gt;=75,"High",IF($K4&gt;=50,"Medium",IF($K4=0,"Skip","Low"))))</f>
        <v/>
      </c>
      <c r="M4" s="20"/>
      <c r="N4" s="18"/>
      <c r="O4" s="22"/>
    </row>
    <row r="5" customFormat="false" ht="15" hidden="false" customHeight="false" outlineLevel="0" collapsed="false">
      <c r="A5" s="14"/>
      <c r="B5" s="14"/>
      <c r="C5" s="14"/>
      <c r="D5" s="14"/>
      <c r="E5" s="15"/>
      <c r="F5" s="16"/>
      <c r="G5" s="12" t="str">
        <f aca="true">IF($A5="","",IF($F5="","",TODAY()-$F5))</f>
        <v/>
      </c>
      <c r="H5" s="12" t="str">
        <f aca="false">IF($A5="","",IF($F5="","",IF($G5&lt;=30,"Yes","No")))</f>
        <v/>
      </c>
      <c r="I5" s="14"/>
      <c r="J5" s="14"/>
      <c r="K5" s="12" t="str">
        <f aca="false">IF($A5="","",IF($H5&lt;&gt;"Yes",0,IF(OR($C5="Clothing",$C5="Jewellery",$C5="Perfume",$C5="Beauty",$C5="Food"),25,0)+IF($I5="None",30,IF($I5="Link-in-bio",30,IF($I5="Own site",15,0)))+IF($E5="",10,IF($E5&lt;1000,10,IF($E5&lt;=50000,25,IF($E5&lt;=150000,15,5))))+IF($J5="Yes",20,0)))</f>
        <v/>
      </c>
      <c r="L5" s="12" t="str">
        <f aca="false">IF($A5="","",IF($K5&gt;=75,"High",IF($K5&gt;=50,"Medium",IF($K5=0,"Skip","Low"))))</f>
        <v/>
      </c>
      <c r="M5" s="16"/>
      <c r="N5" s="14"/>
      <c r="O5" s="17"/>
    </row>
    <row r="6" customFormat="false" ht="15" hidden="false" customHeight="false" outlineLevel="0" collapsed="false">
      <c r="A6" s="18"/>
      <c r="B6" s="18"/>
      <c r="C6" s="18"/>
      <c r="D6" s="18"/>
      <c r="E6" s="19"/>
      <c r="F6" s="20"/>
      <c r="G6" s="21" t="str">
        <f aca="true">IF($A6="","",IF($F6="","",TODAY()-$F6))</f>
        <v/>
      </c>
      <c r="H6" s="21" t="str">
        <f aca="false">IF($A6="","",IF($F6="","",IF($G6&lt;=30,"Yes","No")))</f>
        <v/>
      </c>
      <c r="I6" s="18"/>
      <c r="J6" s="18"/>
      <c r="K6" s="21" t="str">
        <f aca="false">IF($A6="","",IF($H6&lt;&gt;"Yes",0,IF(OR($C6="Clothing",$C6="Jewellery",$C6="Perfume",$C6="Beauty",$C6="Food"),25,0)+IF($I6="None",30,IF($I6="Link-in-bio",30,IF($I6="Own site",15,0)))+IF($E6="",10,IF($E6&lt;1000,10,IF($E6&lt;=50000,25,IF($E6&lt;=150000,15,5))))+IF($J6="Yes",20,0)))</f>
        <v/>
      </c>
      <c r="L6" s="21" t="str">
        <f aca="false">IF($A6="","",IF($K6&gt;=75,"High",IF($K6&gt;=50,"Medium",IF($K6=0,"Skip","Low"))))</f>
        <v/>
      </c>
      <c r="M6" s="20"/>
      <c r="N6" s="18"/>
      <c r="O6" s="22"/>
    </row>
    <row r="7" customFormat="false" ht="15" hidden="false" customHeight="false" outlineLevel="0" collapsed="false">
      <c r="A7" s="14"/>
      <c r="B7" s="14"/>
      <c r="C7" s="14"/>
      <c r="D7" s="14"/>
      <c r="E7" s="15"/>
      <c r="F7" s="16"/>
      <c r="G7" s="12" t="str">
        <f aca="true">IF($A7="","",IF($F7="","",TODAY()-$F7))</f>
        <v/>
      </c>
      <c r="H7" s="12" t="str">
        <f aca="false">IF($A7="","",IF($F7="","",IF($G7&lt;=30,"Yes","No")))</f>
        <v/>
      </c>
      <c r="I7" s="14"/>
      <c r="J7" s="14"/>
      <c r="K7" s="12" t="str">
        <f aca="false">IF($A7="","",IF($H7&lt;&gt;"Yes",0,IF(OR($C7="Clothing",$C7="Jewellery",$C7="Perfume",$C7="Beauty",$C7="Food"),25,0)+IF($I7="None",30,IF($I7="Link-in-bio",30,IF($I7="Own site",15,0)))+IF($E7="",10,IF($E7&lt;1000,10,IF($E7&lt;=50000,25,IF($E7&lt;=150000,15,5))))+IF($J7="Yes",20,0)))</f>
        <v/>
      </c>
      <c r="L7" s="12" t="str">
        <f aca="false">IF($A7="","",IF($K7&gt;=75,"High",IF($K7&gt;=50,"Medium",IF($K7=0,"Skip","Low"))))</f>
        <v/>
      </c>
      <c r="M7" s="16"/>
      <c r="N7" s="14"/>
      <c r="O7" s="17"/>
    </row>
    <row r="8" customFormat="false" ht="15" hidden="false" customHeight="false" outlineLevel="0" collapsed="false">
      <c r="A8" s="18"/>
      <c r="B8" s="18"/>
      <c r="C8" s="18"/>
      <c r="D8" s="18"/>
      <c r="E8" s="19"/>
      <c r="F8" s="20"/>
      <c r="G8" s="21" t="str">
        <f aca="true">IF($A8="","",IF($F8="","",TODAY()-$F8))</f>
        <v/>
      </c>
      <c r="H8" s="21" t="str">
        <f aca="false">IF($A8="","",IF($F8="","",IF($G8&lt;=30,"Yes","No")))</f>
        <v/>
      </c>
      <c r="I8" s="18"/>
      <c r="J8" s="18"/>
      <c r="K8" s="21" t="str">
        <f aca="false">IF($A8="","",IF($H8&lt;&gt;"Yes",0,IF(OR($C8="Clothing",$C8="Jewellery",$C8="Perfume",$C8="Beauty",$C8="Food"),25,0)+IF($I8="None",30,IF($I8="Link-in-bio",30,IF($I8="Own site",15,0)))+IF($E8="",10,IF($E8&lt;1000,10,IF($E8&lt;=50000,25,IF($E8&lt;=150000,15,5))))+IF($J8="Yes",20,0)))</f>
        <v/>
      </c>
      <c r="L8" s="21" t="str">
        <f aca="false">IF($A8="","",IF($K8&gt;=75,"High",IF($K8&gt;=50,"Medium",IF($K8=0,"Skip","Low"))))</f>
        <v/>
      </c>
      <c r="M8" s="20"/>
      <c r="N8" s="18"/>
      <c r="O8" s="22"/>
    </row>
    <row r="9" customFormat="false" ht="15" hidden="false" customHeight="false" outlineLevel="0" collapsed="false">
      <c r="A9" s="14"/>
      <c r="B9" s="14"/>
      <c r="C9" s="14"/>
      <c r="D9" s="14"/>
      <c r="E9" s="15"/>
      <c r="F9" s="16"/>
      <c r="G9" s="12" t="str">
        <f aca="true">IF($A9="","",IF($F9="","",TODAY()-$F9))</f>
        <v/>
      </c>
      <c r="H9" s="12" t="str">
        <f aca="false">IF($A9="","",IF($F9="","",IF($G9&lt;=30,"Yes","No")))</f>
        <v/>
      </c>
      <c r="I9" s="14"/>
      <c r="J9" s="14"/>
      <c r="K9" s="12" t="str">
        <f aca="false">IF($A9="","",IF($H9&lt;&gt;"Yes",0,IF(OR($C9="Clothing",$C9="Jewellery",$C9="Perfume",$C9="Beauty",$C9="Food"),25,0)+IF($I9="None",30,IF($I9="Link-in-bio",30,IF($I9="Own site",15,0)))+IF($E9="",10,IF($E9&lt;1000,10,IF($E9&lt;=50000,25,IF($E9&lt;=150000,15,5))))+IF($J9="Yes",20,0)))</f>
        <v/>
      </c>
      <c r="L9" s="12" t="str">
        <f aca="false">IF($A9="","",IF($K9&gt;=75,"High",IF($K9&gt;=50,"Medium",IF($K9=0,"Skip","Low"))))</f>
        <v/>
      </c>
      <c r="M9" s="16"/>
      <c r="N9" s="14"/>
      <c r="O9" s="17"/>
    </row>
    <row r="10" customFormat="false" ht="15" hidden="false" customHeight="false" outlineLevel="0" collapsed="false">
      <c r="A10" s="18"/>
      <c r="B10" s="18"/>
      <c r="C10" s="18"/>
      <c r="D10" s="18"/>
      <c r="E10" s="19"/>
      <c r="F10" s="20"/>
      <c r="G10" s="21" t="str">
        <f aca="true">IF($A10="","",IF($F10="","",TODAY()-$F10))</f>
        <v/>
      </c>
      <c r="H10" s="21" t="str">
        <f aca="false">IF($A10="","",IF($F10="","",IF($G10&lt;=30,"Yes","No")))</f>
        <v/>
      </c>
      <c r="I10" s="18"/>
      <c r="J10" s="18"/>
      <c r="K10" s="21" t="str">
        <f aca="false">IF($A10="","",IF($H10&lt;&gt;"Yes",0,IF(OR($C10="Clothing",$C10="Jewellery",$C10="Perfume",$C10="Beauty",$C10="Food"),25,0)+IF($I10="None",30,IF($I10="Link-in-bio",30,IF($I10="Own site",15,0)))+IF($E10="",10,IF($E10&lt;1000,10,IF($E10&lt;=50000,25,IF($E10&lt;=150000,15,5))))+IF($J10="Yes",20,0)))</f>
        <v/>
      </c>
      <c r="L10" s="21" t="str">
        <f aca="false">IF($A10="","",IF($K10&gt;=75,"High",IF($K10&gt;=50,"Medium",IF($K10=0,"Skip","Low"))))</f>
        <v/>
      </c>
      <c r="M10" s="20"/>
      <c r="N10" s="18"/>
      <c r="O10" s="22"/>
    </row>
    <row r="11" customFormat="false" ht="15" hidden="false" customHeight="false" outlineLevel="0" collapsed="false">
      <c r="A11" s="14"/>
      <c r="B11" s="14"/>
      <c r="C11" s="14"/>
      <c r="D11" s="14"/>
      <c r="E11" s="15"/>
      <c r="F11" s="16"/>
      <c r="G11" s="12" t="str">
        <f aca="true">IF($A11="","",IF($F11="","",TODAY()-$F11))</f>
        <v/>
      </c>
      <c r="H11" s="12" t="str">
        <f aca="false">IF($A11="","",IF($F11="","",IF($G11&lt;=30,"Yes","No")))</f>
        <v/>
      </c>
      <c r="I11" s="14"/>
      <c r="J11" s="14"/>
      <c r="K11" s="12" t="str">
        <f aca="false">IF($A11="","",IF($H11&lt;&gt;"Yes",0,IF(OR($C11="Clothing",$C11="Jewellery",$C11="Perfume",$C11="Beauty",$C11="Food"),25,0)+IF($I11="None",30,IF($I11="Link-in-bio",30,IF($I11="Own site",15,0)))+IF($E11="",10,IF($E11&lt;1000,10,IF($E11&lt;=50000,25,IF($E11&lt;=150000,15,5))))+IF($J11="Yes",20,0)))</f>
        <v/>
      </c>
      <c r="L11" s="12" t="str">
        <f aca="false">IF($A11="","",IF($K11&gt;=75,"High",IF($K11&gt;=50,"Medium",IF($K11=0,"Skip","Low"))))</f>
        <v/>
      </c>
      <c r="M11" s="16"/>
      <c r="N11" s="14"/>
      <c r="O11" s="17"/>
    </row>
    <row r="12" customFormat="false" ht="15" hidden="false" customHeight="false" outlineLevel="0" collapsed="false">
      <c r="A12" s="18"/>
      <c r="B12" s="18"/>
      <c r="C12" s="18"/>
      <c r="D12" s="18"/>
      <c r="E12" s="19"/>
      <c r="F12" s="20"/>
      <c r="G12" s="21" t="str">
        <f aca="true">IF($A12="","",IF($F12="","",TODAY()-$F12))</f>
        <v/>
      </c>
      <c r="H12" s="21" t="str">
        <f aca="false">IF($A12="","",IF($F12="","",IF($G12&lt;=30,"Yes","No")))</f>
        <v/>
      </c>
      <c r="I12" s="18"/>
      <c r="J12" s="18"/>
      <c r="K12" s="21" t="str">
        <f aca="false">IF($A12="","",IF($H12&lt;&gt;"Yes",0,IF(OR($C12="Clothing",$C12="Jewellery",$C12="Perfume",$C12="Beauty",$C12="Food"),25,0)+IF($I12="None",30,IF($I12="Link-in-bio",30,IF($I12="Own site",15,0)))+IF($E12="",10,IF($E12&lt;1000,10,IF($E12&lt;=50000,25,IF($E12&lt;=150000,15,5))))+IF($J12="Yes",20,0)))</f>
        <v/>
      </c>
      <c r="L12" s="21" t="str">
        <f aca="false">IF($A12="","",IF($K12&gt;=75,"High",IF($K12&gt;=50,"Medium",IF($K12=0,"Skip","Low"))))</f>
        <v/>
      </c>
      <c r="M12" s="20"/>
      <c r="N12" s="18"/>
      <c r="O12" s="22"/>
    </row>
    <row r="13" customFormat="false" ht="15" hidden="false" customHeight="false" outlineLevel="0" collapsed="false">
      <c r="A13" s="14"/>
      <c r="B13" s="14"/>
      <c r="C13" s="14"/>
      <c r="D13" s="14"/>
      <c r="E13" s="15"/>
      <c r="F13" s="16"/>
      <c r="G13" s="12" t="str">
        <f aca="true">IF($A13="","",IF($F13="","",TODAY()-$F13))</f>
        <v/>
      </c>
      <c r="H13" s="12" t="str">
        <f aca="false">IF($A13="","",IF($F13="","",IF($G13&lt;=30,"Yes","No")))</f>
        <v/>
      </c>
      <c r="I13" s="14"/>
      <c r="J13" s="14"/>
      <c r="K13" s="12" t="str">
        <f aca="false">IF($A13="","",IF($H13&lt;&gt;"Yes",0,IF(OR($C13="Clothing",$C13="Jewellery",$C13="Perfume",$C13="Beauty",$C13="Food"),25,0)+IF($I13="None",30,IF($I13="Link-in-bio",30,IF($I13="Own site",15,0)))+IF($E13="",10,IF($E13&lt;1000,10,IF($E13&lt;=50000,25,IF($E13&lt;=150000,15,5))))+IF($J13="Yes",20,0)))</f>
        <v/>
      </c>
      <c r="L13" s="12" t="str">
        <f aca="false">IF($A13="","",IF($K13&gt;=75,"High",IF($K13&gt;=50,"Medium",IF($K13=0,"Skip","Low"))))</f>
        <v/>
      </c>
      <c r="M13" s="16"/>
      <c r="N13" s="14"/>
      <c r="O13" s="17"/>
    </row>
    <row r="14" customFormat="false" ht="15" hidden="false" customHeight="false" outlineLevel="0" collapsed="false">
      <c r="A14" s="18"/>
      <c r="B14" s="18"/>
      <c r="C14" s="18"/>
      <c r="D14" s="18"/>
      <c r="E14" s="19"/>
      <c r="F14" s="20"/>
      <c r="G14" s="21" t="str">
        <f aca="true">IF($A14="","",IF($F14="","",TODAY()-$F14))</f>
        <v/>
      </c>
      <c r="H14" s="21" t="str">
        <f aca="false">IF($A14="","",IF($F14="","",IF($G14&lt;=30,"Yes","No")))</f>
        <v/>
      </c>
      <c r="I14" s="18"/>
      <c r="J14" s="18"/>
      <c r="K14" s="21" t="str">
        <f aca="false">IF($A14="","",IF($H14&lt;&gt;"Yes",0,IF(OR($C14="Clothing",$C14="Jewellery",$C14="Perfume",$C14="Beauty",$C14="Food"),25,0)+IF($I14="None",30,IF($I14="Link-in-bio",30,IF($I14="Own site",15,0)))+IF($E14="",10,IF($E14&lt;1000,10,IF($E14&lt;=50000,25,IF($E14&lt;=150000,15,5))))+IF($J14="Yes",20,0)))</f>
        <v/>
      </c>
      <c r="L14" s="21" t="str">
        <f aca="false">IF($A14="","",IF($K14&gt;=75,"High",IF($K14&gt;=50,"Medium",IF($K14=0,"Skip","Low"))))</f>
        <v/>
      </c>
      <c r="M14" s="20"/>
      <c r="N14" s="18"/>
      <c r="O14" s="22"/>
    </row>
    <row r="15" customFormat="false" ht="15" hidden="false" customHeight="false" outlineLevel="0" collapsed="false">
      <c r="A15" s="14"/>
      <c r="B15" s="14"/>
      <c r="C15" s="14"/>
      <c r="D15" s="14"/>
      <c r="E15" s="15"/>
      <c r="F15" s="16"/>
      <c r="G15" s="12" t="str">
        <f aca="true">IF($A15="","",IF($F15="","",TODAY()-$F15))</f>
        <v/>
      </c>
      <c r="H15" s="12" t="str">
        <f aca="false">IF($A15="","",IF($F15="","",IF($G15&lt;=30,"Yes","No")))</f>
        <v/>
      </c>
      <c r="I15" s="14"/>
      <c r="J15" s="14"/>
      <c r="K15" s="12" t="str">
        <f aca="false">IF($A15="","",IF($H15&lt;&gt;"Yes",0,IF(OR($C15="Clothing",$C15="Jewellery",$C15="Perfume",$C15="Beauty",$C15="Food"),25,0)+IF($I15="None",30,IF($I15="Link-in-bio",30,IF($I15="Own site",15,0)))+IF($E15="",10,IF($E15&lt;1000,10,IF($E15&lt;=50000,25,IF($E15&lt;=150000,15,5))))+IF($J15="Yes",20,0)))</f>
        <v/>
      </c>
      <c r="L15" s="12" t="str">
        <f aca="false">IF($A15="","",IF($K15&gt;=75,"High",IF($K15&gt;=50,"Medium",IF($K15=0,"Skip","Low"))))</f>
        <v/>
      </c>
      <c r="M15" s="16"/>
      <c r="N15" s="14"/>
      <c r="O15" s="17"/>
    </row>
    <row r="16" customFormat="false" ht="15" hidden="false" customHeight="false" outlineLevel="0" collapsed="false">
      <c r="A16" s="18"/>
      <c r="B16" s="18"/>
      <c r="C16" s="18"/>
      <c r="D16" s="18"/>
      <c r="E16" s="19"/>
      <c r="F16" s="20"/>
      <c r="G16" s="21" t="str">
        <f aca="true">IF($A16="","",IF($F16="","",TODAY()-$F16))</f>
        <v/>
      </c>
      <c r="H16" s="21" t="str">
        <f aca="false">IF($A16="","",IF($F16="","",IF($G16&lt;=30,"Yes","No")))</f>
        <v/>
      </c>
      <c r="I16" s="18"/>
      <c r="J16" s="18"/>
      <c r="K16" s="21" t="str">
        <f aca="false">IF($A16="","",IF($H16&lt;&gt;"Yes",0,IF(OR($C16="Clothing",$C16="Jewellery",$C16="Perfume",$C16="Beauty",$C16="Food"),25,0)+IF($I16="None",30,IF($I16="Link-in-bio",30,IF($I16="Own site",15,0)))+IF($E16="",10,IF($E16&lt;1000,10,IF($E16&lt;=50000,25,IF($E16&lt;=150000,15,5))))+IF($J16="Yes",20,0)))</f>
        <v/>
      </c>
      <c r="L16" s="21" t="str">
        <f aca="false">IF($A16="","",IF($K16&gt;=75,"High",IF($K16&gt;=50,"Medium",IF($K16=0,"Skip","Low"))))</f>
        <v/>
      </c>
      <c r="M16" s="20"/>
      <c r="N16" s="18"/>
      <c r="O16" s="22"/>
    </row>
    <row r="17" customFormat="false" ht="15" hidden="false" customHeight="false" outlineLevel="0" collapsed="false">
      <c r="A17" s="14"/>
      <c r="B17" s="14"/>
      <c r="C17" s="14"/>
      <c r="D17" s="14"/>
      <c r="E17" s="15"/>
      <c r="F17" s="16"/>
      <c r="G17" s="12" t="str">
        <f aca="true">IF($A17="","",IF($F17="","",TODAY()-$F17))</f>
        <v/>
      </c>
      <c r="H17" s="12" t="str">
        <f aca="false">IF($A17="","",IF($F17="","",IF($G17&lt;=30,"Yes","No")))</f>
        <v/>
      </c>
      <c r="I17" s="14"/>
      <c r="J17" s="14"/>
      <c r="K17" s="12" t="str">
        <f aca="false">IF($A17="","",IF($H17&lt;&gt;"Yes",0,IF(OR($C17="Clothing",$C17="Jewellery",$C17="Perfume",$C17="Beauty",$C17="Food"),25,0)+IF($I17="None",30,IF($I17="Link-in-bio",30,IF($I17="Own site",15,0)))+IF($E17="",10,IF($E17&lt;1000,10,IF($E17&lt;=50000,25,IF($E17&lt;=150000,15,5))))+IF($J17="Yes",20,0)))</f>
        <v/>
      </c>
      <c r="L17" s="12" t="str">
        <f aca="false">IF($A17="","",IF($K17&gt;=75,"High",IF($K17&gt;=50,"Medium",IF($K17=0,"Skip","Low"))))</f>
        <v/>
      </c>
      <c r="M17" s="16"/>
      <c r="N17" s="14"/>
      <c r="O17" s="17"/>
    </row>
    <row r="18" customFormat="false" ht="15" hidden="false" customHeight="false" outlineLevel="0" collapsed="false">
      <c r="A18" s="18"/>
      <c r="B18" s="18"/>
      <c r="C18" s="18"/>
      <c r="D18" s="18"/>
      <c r="E18" s="19"/>
      <c r="F18" s="20"/>
      <c r="G18" s="21" t="str">
        <f aca="true">IF($A18="","",IF($F18="","",TODAY()-$F18))</f>
        <v/>
      </c>
      <c r="H18" s="21" t="str">
        <f aca="false">IF($A18="","",IF($F18="","",IF($G18&lt;=30,"Yes","No")))</f>
        <v/>
      </c>
      <c r="I18" s="18"/>
      <c r="J18" s="18"/>
      <c r="K18" s="21" t="str">
        <f aca="false">IF($A18="","",IF($H18&lt;&gt;"Yes",0,IF(OR($C18="Clothing",$C18="Jewellery",$C18="Perfume",$C18="Beauty",$C18="Food"),25,0)+IF($I18="None",30,IF($I18="Link-in-bio",30,IF($I18="Own site",15,0)))+IF($E18="",10,IF($E18&lt;1000,10,IF($E18&lt;=50000,25,IF($E18&lt;=150000,15,5))))+IF($J18="Yes",20,0)))</f>
        <v/>
      </c>
      <c r="L18" s="21" t="str">
        <f aca="false">IF($A18="","",IF($K18&gt;=75,"High",IF($K18&gt;=50,"Medium",IF($K18=0,"Skip","Low"))))</f>
        <v/>
      </c>
      <c r="M18" s="20"/>
      <c r="N18" s="18"/>
      <c r="O18" s="22"/>
    </row>
    <row r="19" customFormat="false" ht="15" hidden="false" customHeight="false" outlineLevel="0" collapsed="false">
      <c r="A19" s="14"/>
      <c r="B19" s="14"/>
      <c r="C19" s="14"/>
      <c r="D19" s="14"/>
      <c r="E19" s="15"/>
      <c r="F19" s="16"/>
      <c r="G19" s="12" t="str">
        <f aca="true">IF($A19="","",IF($F19="","",TODAY()-$F19))</f>
        <v/>
      </c>
      <c r="H19" s="12" t="str">
        <f aca="false">IF($A19="","",IF($F19="","",IF($G19&lt;=30,"Yes","No")))</f>
        <v/>
      </c>
      <c r="I19" s="14"/>
      <c r="J19" s="14"/>
      <c r="K19" s="12" t="str">
        <f aca="false">IF($A19="","",IF($H19&lt;&gt;"Yes",0,IF(OR($C19="Clothing",$C19="Jewellery",$C19="Perfume",$C19="Beauty",$C19="Food"),25,0)+IF($I19="None",30,IF($I19="Link-in-bio",30,IF($I19="Own site",15,0)))+IF($E19="",10,IF($E19&lt;1000,10,IF($E19&lt;=50000,25,IF($E19&lt;=150000,15,5))))+IF($J19="Yes",20,0)))</f>
        <v/>
      </c>
      <c r="L19" s="12" t="str">
        <f aca="false">IF($A19="","",IF($K19&gt;=75,"High",IF($K19&gt;=50,"Medium",IF($K19=0,"Skip","Low"))))</f>
        <v/>
      </c>
      <c r="M19" s="16"/>
      <c r="N19" s="14"/>
      <c r="O19" s="17"/>
    </row>
    <row r="20" customFormat="false" ht="15" hidden="false" customHeight="false" outlineLevel="0" collapsed="false">
      <c r="A20" s="18"/>
      <c r="B20" s="18"/>
      <c r="C20" s="18"/>
      <c r="D20" s="18"/>
      <c r="E20" s="19"/>
      <c r="F20" s="20"/>
      <c r="G20" s="21" t="str">
        <f aca="true">IF($A20="","",IF($F20="","",TODAY()-$F20))</f>
        <v/>
      </c>
      <c r="H20" s="21" t="str">
        <f aca="false">IF($A20="","",IF($F20="","",IF($G20&lt;=30,"Yes","No")))</f>
        <v/>
      </c>
      <c r="I20" s="18"/>
      <c r="J20" s="18"/>
      <c r="K20" s="21" t="str">
        <f aca="false">IF($A20="","",IF($H20&lt;&gt;"Yes",0,IF(OR($C20="Clothing",$C20="Jewellery",$C20="Perfume",$C20="Beauty",$C20="Food"),25,0)+IF($I20="None",30,IF($I20="Link-in-bio",30,IF($I20="Own site",15,0)))+IF($E20="",10,IF($E20&lt;1000,10,IF($E20&lt;=50000,25,IF($E20&lt;=150000,15,5))))+IF($J20="Yes",20,0)))</f>
        <v/>
      </c>
      <c r="L20" s="21" t="str">
        <f aca="false">IF($A20="","",IF($K20&gt;=75,"High",IF($K20&gt;=50,"Medium",IF($K20=0,"Skip","Low"))))</f>
        <v/>
      </c>
      <c r="M20" s="20"/>
      <c r="N20" s="18"/>
      <c r="O20" s="22"/>
    </row>
    <row r="21" customFormat="false" ht="15" hidden="false" customHeight="false" outlineLevel="0" collapsed="false">
      <c r="A21" s="14"/>
      <c r="B21" s="14"/>
      <c r="C21" s="14"/>
      <c r="D21" s="14"/>
      <c r="E21" s="15"/>
      <c r="F21" s="16"/>
      <c r="G21" s="12" t="str">
        <f aca="true">IF($A21="","",IF($F21="","",TODAY()-$F21))</f>
        <v/>
      </c>
      <c r="H21" s="12" t="str">
        <f aca="false">IF($A21="","",IF($F21="","",IF($G21&lt;=30,"Yes","No")))</f>
        <v/>
      </c>
      <c r="I21" s="14"/>
      <c r="J21" s="14"/>
      <c r="K21" s="12" t="str">
        <f aca="false">IF($A21="","",IF($H21&lt;&gt;"Yes",0,IF(OR($C21="Clothing",$C21="Jewellery",$C21="Perfume",$C21="Beauty",$C21="Food"),25,0)+IF($I21="None",30,IF($I21="Link-in-bio",30,IF($I21="Own site",15,0)))+IF($E21="",10,IF($E21&lt;1000,10,IF($E21&lt;=50000,25,IF($E21&lt;=150000,15,5))))+IF($J21="Yes",20,0)))</f>
        <v/>
      </c>
      <c r="L21" s="12" t="str">
        <f aca="false">IF($A21="","",IF($K21&gt;=75,"High",IF($K21&gt;=50,"Medium",IF($K21=0,"Skip","Low"))))</f>
        <v/>
      </c>
      <c r="M21" s="16"/>
      <c r="N21" s="14"/>
      <c r="O21" s="17"/>
    </row>
    <row r="22" customFormat="false" ht="15" hidden="false" customHeight="false" outlineLevel="0" collapsed="false">
      <c r="A22" s="18"/>
      <c r="B22" s="18"/>
      <c r="C22" s="18"/>
      <c r="D22" s="18"/>
      <c r="E22" s="19"/>
      <c r="F22" s="20"/>
      <c r="G22" s="21" t="str">
        <f aca="true">IF($A22="","",IF($F22="","",TODAY()-$F22))</f>
        <v/>
      </c>
      <c r="H22" s="21" t="str">
        <f aca="false">IF($A22="","",IF($F22="","",IF($G22&lt;=30,"Yes","No")))</f>
        <v/>
      </c>
      <c r="I22" s="18"/>
      <c r="J22" s="18"/>
      <c r="K22" s="21" t="str">
        <f aca="false">IF($A22="","",IF($H22&lt;&gt;"Yes",0,IF(OR($C22="Clothing",$C22="Jewellery",$C22="Perfume",$C22="Beauty",$C22="Food"),25,0)+IF($I22="None",30,IF($I22="Link-in-bio",30,IF($I22="Own site",15,0)))+IF($E22="",10,IF($E22&lt;1000,10,IF($E22&lt;=50000,25,IF($E22&lt;=150000,15,5))))+IF($J22="Yes",20,0)))</f>
        <v/>
      </c>
      <c r="L22" s="21" t="str">
        <f aca="false">IF($A22="","",IF($K22&gt;=75,"High",IF($K22&gt;=50,"Medium",IF($K22=0,"Skip","Low"))))</f>
        <v/>
      </c>
      <c r="M22" s="20"/>
      <c r="N22" s="18"/>
      <c r="O22" s="22"/>
    </row>
    <row r="23" customFormat="false" ht="15" hidden="false" customHeight="false" outlineLevel="0" collapsed="false">
      <c r="A23" s="14"/>
      <c r="B23" s="14"/>
      <c r="C23" s="14"/>
      <c r="D23" s="14"/>
      <c r="E23" s="15"/>
      <c r="F23" s="16"/>
      <c r="G23" s="12" t="str">
        <f aca="true">IF($A23="","",IF($F23="","",TODAY()-$F23))</f>
        <v/>
      </c>
      <c r="H23" s="12" t="str">
        <f aca="false">IF($A23="","",IF($F23="","",IF($G23&lt;=30,"Yes","No")))</f>
        <v/>
      </c>
      <c r="I23" s="14"/>
      <c r="J23" s="14"/>
      <c r="K23" s="12" t="str">
        <f aca="false">IF($A23="","",IF($H23&lt;&gt;"Yes",0,IF(OR($C23="Clothing",$C23="Jewellery",$C23="Perfume",$C23="Beauty",$C23="Food"),25,0)+IF($I23="None",30,IF($I23="Link-in-bio",30,IF($I23="Own site",15,0)))+IF($E23="",10,IF($E23&lt;1000,10,IF($E23&lt;=50000,25,IF($E23&lt;=150000,15,5))))+IF($J23="Yes",20,0)))</f>
        <v/>
      </c>
      <c r="L23" s="12" t="str">
        <f aca="false">IF($A23="","",IF($K23&gt;=75,"High",IF($K23&gt;=50,"Medium",IF($K23=0,"Skip","Low"))))</f>
        <v/>
      </c>
      <c r="M23" s="16"/>
      <c r="N23" s="14"/>
      <c r="O23" s="17"/>
    </row>
    <row r="24" customFormat="false" ht="15" hidden="false" customHeight="false" outlineLevel="0" collapsed="false">
      <c r="A24" s="18"/>
      <c r="B24" s="18"/>
      <c r="C24" s="18"/>
      <c r="D24" s="18"/>
      <c r="E24" s="19"/>
      <c r="F24" s="20"/>
      <c r="G24" s="21" t="str">
        <f aca="true">IF($A24="","",IF($F24="","",TODAY()-$F24))</f>
        <v/>
      </c>
      <c r="H24" s="21" t="str">
        <f aca="false">IF($A24="","",IF($F24="","",IF($G24&lt;=30,"Yes","No")))</f>
        <v/>
      </c>
      <c r="I24" s="18"/>
      <c r="J24" s="18"/>
      <c r="K24" s="21" t="str">
        <f aca="false">IF($A24="","",IF($H24&lt;&gt;"Yes",0,IF(OR($C24="Clothing",$C24="Jewellery",$C24="Perfume",$C24="Beauty",$C24="Food"),25,0)+IF($I24="None",30,IF($I24="Link-in-bio",30,IF($I24="Own site",15,0)))+IF($E24="",10,IF($E24&lt;1000,10,IF($E24&lt;=50000,25,IF($E24&lt;=150000,15,5))))+IF($J24="Yes",20,0)))</f>
        <v/>
      </c>
      <c r="L24" s="21" t="str">
        <f aca="false">IF($A24="","",IF($K24&gt;=75,"High",IF($K24&gt;=50,"Medium",IF($K24=0,"Skip","Low"))))</f>
        <v/>
      </c>
      <c r="M24" s="20"/>
      <c r="N24" s="18"/>
      <c r="O24" s="22"/>
    </row>
    <row r="25" customFormat="false" ht="15" hidden="false" customHeight="false" outlineLevel="0" collapsed="false">
      <c r="A25" s="14"/>
      <c r="B25" s="14"/>
      <c r="C25" s="14"/>
      <c r="D25" s="14"/>
      <c r="E25" s="15"/>
      <c r="F25" s="16"/>
      <c r="G25" s="12" t="str">
        <f aca="true">IF($A25="","",IF($F25="","",TODAY()-$F25))</f>
        <v/>
      </c>
      <c r="H25" s="12" t="str">
        <f aca="false">IF($A25="","",IF($F25="","",IF($G25&lt;=30,"Yes","No")))</f>
        <v/>
      </c>
      <c r="I25" s="14"/>
      <c r="J25" s="14"/>
      <c r="K25" s="12" t="str">
        <f aca="false">IF($A25="","",IF($H25&lt;&gt;"Yes",0,IF(OR($C25="Clothing",$C25="Jewellery",$C25="Perfume",$C25="Beauty",$C25="Food"),25,0)+IF($I25="None",30,IF($I25="Link-in-bio",30,IF($I25="Own site",15,0)))+IF($E25="",10,IF($E25&lt;1000,10,IF($E25&lt;=50000,25,IF($E25&lt;=150000,15,5))))+IF($J25="Yes",20,0)))</f>
        <v/>
      </c>
      <c r="L25" s="12" t="str">
        <f aca="false">IF($A25="","",IF($K25&gt;=75,"High",IF($K25&gt;=50,"Medium",IF($K25=0,"Skip","Low"))))</f>
        <v/>
      </c>
      <c r="M25" s="16"/>
      <c r="N25" s="14"/>
      <c r="O25" s="17"/>
    </row>
    <row r="26" customFormat="false" ht="15" hidden="false" customHeight="false" outlineLevel="0" collapsed="false">
      <c r="A26" s="18"/>
      <c r="B26" s="18"/>
      <c r="C26" s="18"/>
      <c r="D26" s="18"/>
      <c r="E26" s="19"/>
      <c r="F26" s="20"/>
      <c r="G26" s="21" t="str">
        <f aca="true">IF($A26="","",IF($F26="","",TODAY()-$F26))</f>
        <v/>
      </c>
      <c r="H26" s="21" t="str">
        <f aca="false">IF($A26="","",IF($F26="","",IF($G26&lt;=30,"Yes","No")))</f>
        <v/>
      </c>
      <c r="I26" s="18"/>
      <c r="J26" s="18"/>
      <c r="K26" s="21" t="str">
        <f aca="false">IF($A26="","",IF($H26&lt;&gt;"Yes",0,IF(OR($C26="Clothing",$C26="Jewellery",$C26="Perfume",$C26="Beauty",$C26="Food"),25,0)+IF($I26="None",30,IF($I26="Link-in-bio",30,IF($I26="Own site",15,0)))+IF($E26="",10,IF($E26&lt;1000,10,IF($E26&lt;=50000,25,IF($E26&lt;=150000,15,5))))+IF($J26="Yes",20,0)))</f>
        <v/>
      </c>
      <c r="L26" s="21" t="str">
        <f aca="false">IF($A26="","",IF($K26&gt;=75,"High",IF($K26&gt;=50,"Medium",IF($K26=0,"Skip","Low"))))</f>
        <v/>
      </c>
      <c r="M26" s="20"/>
      <c r="N26" s="18"/>
      <c r="O26" s="22"/>
    </row>
    <row r="27" customFormat="false" ht="15" hidden="false" customHeight="false" outlineLevel="0" collapsed="false">
      <c r="A27" s="14"/>
      <c r="B27" s="14"/>
      <c r="C27" s="14"/>
      <c r="D27" s="14"/>
      <c r="E27" s="15"/>
      <c r="F27" s="16"/>
      <c r="G27" s="12" t="str">
        <f aca="true">IF($A27="","",IF($F27="","",TODAY()-$F27))</f>
        <v/>
      </c>
      <c r="H27" s="12" t="str">
        <f aca="false">IF($A27="","",IF($F27="","",IF($G27&lt;=30,"Yes","No")))</f>
        <v/>
      </c>
      <c r="I27" s="14"/>
      <c r="J27" s="14"/>
      <c r="K27" s="12" t="str">
        <f aca="false">IF($A27="","",IF($H27&lt;&gt;"Yes",0,IF(OR($C27="Clothing",$C27="Jewellery",$C27="Perfume",$C27="Beauty",$C27="Food"),25,0)+IF($I27="None",30,IF($I27="Link-in-bio",30,IF($I27="Own site",15,0)))+IF($E27="",10,IF($E27&lt;1000,10,IF($E27&lt;=50000,25,IF($E27&lt;=150000,15,5))))+IF($J27="Yes",20,0)))</f>
        <v/>
      </c>
      <c r="L27" s="12" t="str">
        <f aca="false">IF($A27="","",IF($K27&gt;=75,"High",IF($K27&gt;=50,"Medium",IF($K27=0,"Skip","Low"))))</f>
        <v/>
      </c>
      <c r="M27" s="16"/>
      <c r="N27" s="14"/>
      <c r="O27" s="17"/>
    </row>
    <row r="28" customFormat="false" ht="15" hidden="false" customHeight="false" outlineLevel="0" collapsed="false">
      <c r="A28" s="18"/>
      <c r="B28" s="18"/>
      <c r="C28" s="18"/>
      <c r="D28" s="18"/>
      <c r="E28" s="19"/>
      <c r="F28" s="20"/>
      <c r="G28" s="21" t="str">
        <f aca="true">IF($A28="","",IF($F28="","",TODAY()-$F28))</f>
        <v/>
      </c>
      <c r="H28" s="21" t="str">
        <f aca="false">IF($A28="","",IF($F28="","",IF($G28&lt;=30,"Yes","No")))</f>
        <v/>
      </c>
      <c r="I28" s="18"/>
      <c r="J28" s="18"/>
      <c r="K28" s="21" t="str">
        <f aca="false">IF($A28="","",IF($H28&lt;&gt;"Yes",0,IF(OR($C28="Clothing",$C28="Jewellery",$C28="Perfume",$C28="Beauty",$C28="Food"),25,0)+IF($I28="None",30,IF($I28="Link-in-bio",30,IF($I28="Own site",15,0)))+IF($E28="",10,IF($E28&lt;1000,10,IF($E28&lt;=50000,25,IF($E28&lt;=150000,15,5))))+IF($J28="Yes",20,0)))</f>
        <v/>
      </c>
      <c r="L28" s="21" t="str">
        <f aca="false">IF($A28="","",IF($K28&gt;=75,"High",IF($K28&gt;=50,"Medium",IF($K28=0,"Skip","Low"))))</f>
        <v/>
      </c>
      <c r="M28" s="20"/>
      <c r="N28" s="18"/>
      <c r="O28" s="22"/>
    </row>
    <row r="29" customFormat="false" ht="15" hidden="false" customHeight="false" outlineLevel="0" collapsed="false">
      <c r="A29" s="14"/>
      <c r="B29" s="14"/>
      <c r="C29" s="14"/>
      <c r="D29" s="14"/>
      <c r="E29" s="15"/>
      <c r="F29" s="16"/>
      <c r="G29" s="12" t="str">
        <f aca="true">IF($A29="","",IF($F29="","",TODAY()-$F29))</f>
        <v/>
      </c>
      <c r="H29" s="12" t="str">
        <f aca="false">IF($A29="","",IF($F29="","",IF($G29&lt;=30,"Yes","No")))</f>
        <v/>
      </c>
      <c r="I29" s="14"/>
      <c r="J29" s="14"/>
      <c r="K29" s="12" t="str">
        <f aca="false">IF($A29="","",IF($H29&lt;&gt;"Yes",0,IF(OR($C29="Clothing",$C29="Jewellery",$C29="Perfume",$C29="Beauty",$C29="Food"),25,0)+IF($I29="None",30,IF($I29="Link-in-bio",30,IF($I29="Own site",15,0)))+IF($E29="",10,IF($E29&lt;1000,10,IF($E29&lt;=50000,25,IF($E29&lt;=150000,15,5))))+IF($J29="Yes",20,0)))</f>
        <v/>
      </c>
      <c r="L29" s="12" t="str">
        <f aca="false">IF($A29="","",IF($K29&gt;=75,"High",IF($K29&gt;=50,"Medium",IF($K29=0,"Skip","Low"))))</f>
        <v/>
      </c>
      <c r="M29" s="16"/>
      <c r="N29" s="14"/>
      <c r="O29" s="17"/>
    </row>
    <row r="30" customFormat="false" ht="15" hidden="false" customHeight="false" outlineLevel="0" collapsed="false">
      <c r="A30" s="18"/>
      <c r="B30" s="18"/>
      <c r="C30" s="18"/>
      <c r="D30" s="18"/>
      <c r="E30" s="19"/>
      <c r="F30" s="20"/>
      <c r="G30" s="21" t="str">
        <f aca="true">IF($A30="","",IF($F30="","",TODAY()-$F30))</f>
        <v/>
      </c>
      <c r="H30" s="21" t="str">
        <f aca="false">IF($A30="","",IF($F30="","",IF($G30&lt;=30,"Yes","No")))</f>
        <v/>
      </c>
      <c r="I30" s="18"/>
      <c r="J30" s="18"/>
      <c r="K30" s="21" t="str">
        <f aca="false">IF($A30="","",IF($H30&lt;&gt;"Yes",0,IF(OR($C30="Clothing",$C30="Jewellery",$C30="Perfume",$C30="Beauty",$C30="Food"),25,0)+IF($I30="None",30,IF($I30="Link-in-bio",30,IF($I30="Own site",15,0)))+IF($E30="",10,IF($E30&lt;1000,10,IF($E30&lt;=50000,25,IF($E30&lt;=150000,15,5))))+IF($J30="Yes",20,0)))</f>
        <v/>
      </c>
      <c r="L30" s="21" t="str">
        <f aca="false">IF($A30="","",IF($K30&gt;=75,"High",IF($K30&gt;=50,"Medium",IF($K30=0,"Skip","Low"))))</f>
        <v/>
      </c>
      <c r="M30" s="20"/>
      <c r="N30" s="18"/>
      <c r="O30" s="22"/>
    </row>
    <row r="31" customFormat="false" ht="15" hidden="false" customHeight="false" outlineLevel="0" collapsed="false">
      <c r="A31" s="14"/>
      <c r="B31" s="14"/>
      <c r="C31" s="14"/>
      <c r="D31" s="14"/>
      <c r="E31" s="15"/>
      <c r="F31" s="16"/>
      <c r="G31" s="12" t="str">
        <f aca="true">IF($A31="","",IF($F31="","",TODAY()-$F31))</f>
        <v/>
      </c>
      <c r="H31" s="12" t="str">
        <f aca="false">IF($A31="","",IF($F31="","",IF($G31&lt;=30,"Yes","No")))</f>
        <v/>
      </c>
      <c r="I31" s="14"/>
      <c r="J31" s="14"/>
      <c r="K31" s="12" t="str">
        <f aca="false">IF($A31="","",IF($H31&lt;&gt;"Yes",0,IF(OR($C31="Clothing",$C31="Jewellery",$C31="Perfume",$C31="Beauty",$C31="Food"),25,0)+IF($I31="None",30,IF($I31="Link-in-bio",30,IF($I31="Own site",15,0)))+IF($E31="",10,IF($E31&lt;1000,10,IF($E31&lt;=50000,25,IF($E31&lt;=150000,15,5))))+IF($J31="Yes",20,0)))</f>
        <v/>
      </c>
      <c r="L31" s="12" t="str">
        <f aca="false">IF($A31="","",IF($K31&gt;=75,"High",IF($K31&gt;=50,"Medium",IF($K31=0,"Skip","Low"))))</f>
        <v/>
      </c>
      <c r="M31" s="16"/>
      <c r="N31" s="14"/>
      <c r="O31" s="17"/>
    </row>
    <row r="32" customFormat="false" ht="15" hidden="false" customHeight="false" outlineLevel="0" collapsed="false">
      <c r="A32" s="18"/>
      <c r="B32" s="18"/>
      <c r="C32" s="18"/>
      <c r="D32" s="18"/>
      <c r="E32" s="19"/>
      <c r="F32" s="20"/>
      <c r="G32" s="21" t="str">
        <f aca="true">IF($A32="","",IF($F32="","",TODAY()-$F32))</f>
        <v/>
      </c>
      <c r="H32" s="21" t="str">
        <f aca="false">IF($A32="","",IF($F32="","",IF($G32&lt;=30,"Yes","No")))</f>
        <v/>
      </c>
      <c r="I32" s="18"/>
      <c r="J32" s="18"/>
      <c r="K32" s="21" t="str">
        <f aca="false">IF($A32="","",IF($H32&lt;&gt;"Yes",0,IF(OR($C32="Clothing",$C32="Jewellery",$C32="Perfume",$C32="Beauty",$C32="Food"),25,0)+IF($I32="None",30,IF($I32="Link-in-bio",30,IF($I32="Own site",15,0)))+IF($E32="",10,IF($E32&lt;1000,10,IF($E32&lt;=50000,25,IF($E32&lt;=150000,15,5))))+IF($J32="Yes",20,0)))</f>
        <v/>
      </c>
      <c r="L32" s="21" t="str">
        <f aca="false">IF($A32="","",IF($K32&gt;=75,"High",IF($K32&gt;=50,"Medium",IF($K32=0,"Skip","Low"))))</f>
        <v/>
      </c>
      <c r="M32" s="20"/>
      <c r="N32" s="18"/>
      <c r="O32" s="22"/>
    </row>
    <row r="33" customFormat="false" ht="15" hidden="false" customHeight="false" outlineLevel="0" collapsed="false">
      <c r="A33" s="14"/>
      <c r="B33" s="14"/>
      <c r="C33" s="14"/>
      <c r="D33" s="14"/>
      <c r="E33" s="15"/>
      <c r="F33" s="16"/>
      <c r="G33" s="12" t="str">
        <f aca="true">IF($A33="","",IF($F33="","",TODAY()-$F33))</f>
        <v/>
      </c>
      <c r="H33" s="12" t="str">
        <f aca="false">IF($A33="","",IF($F33="","",IF($G33&lt;=30,"Yes","No")))</f>
        <v/>
      </c>
      <c r="I33" s="14"/>
      <c r="J33" s="14"/>
      <c r="K33" s="12" t="str">
        <f aca="false">IF($A33="","",IF($H33&lt;&gt;"Yes",0,IF(OR($C33="Clothing",$C33="Jewellery",$C33="Perfume",$C33="Beauty",$C33="Food"),25,0)+IF($I33="None",30,IF($I33="Link-in-bio",30,IF($I33="Own site",15,0)))+IF($E33="",10,IF($E33&lt;1000,10,IF($E33&lt;=50000,25,IF($E33&lt;=150000,15,5))))+IF($J33="Yes",20,0)))</f>
        <v/>
      </c>
      <c r="L33" s="12" t="str">
        <f aca="false">IF($A33="","",IF($K33&gt;=75,"High",IF($K33&gt;=50,"Medium",IF($K33=0,"Skip","Low"))))</f>
        <v/>
      </c>
      <c r="M33" s="16"/>
      <c r="N33" s="14"/>
      <c r="O33" s="17"/>
    </row>
    <row r="34" customFormat="false" ht="15" hidden="false" customHeight="false" outlineLevel="0" collapsed="false">
      <c r="A34" s="18"/>
      <c r="B34" s="18"/>
      <c r="C34" s="18"/>
      <c r="D34" s="18"/>
      <c r="E34" s="19"/>
      <c r="F34" s="20"/>
      <c r="G34" s="21" t="str">
        <f aca="true">IF($A34="","",IF($F34="","",TODAY()-$F34))</f>
        <v/>
      </c>
      <c r="H34" s="21" t="str">
        <f aca="false">IF($A34="","",IF($F34="","",IF($G34&lt;=30,"Yes","No")))</f>
        <v/>
      </c>
      <c r="I34" s="18"/>
      <c r="J34" s="18"/>
      <c r="K34" s="21" t="str">
        <f aca="false">IF($A34="","",IF($H34&lt;&gt;"Yes",0,IF(OR($C34="Clothing",$C34="Jewellery",$C34="Perfume",$C34="Beauty",$C34="Food"),25,0)+IF($I34="None",30,IF($I34="Link-in-bio",30,IF($I34="Own site",15,0)))+IF($E34="",10,IF($E34&lt;1000,10,IF($E34&lt;=50000,25,IF($E34&lt;=150000,15,5))))+IF($J34="Yes",20,0)))</f>
        <v/>
      </c>
      <c r="L34" s="21" t="str">
        <f aca="false">IF($A34="","",IF($K34&gt;=75,"High",IF($K34&gt;=50,"Medium",IF($K34=0,"Skip","Low"))))</f>
        <v/>
      </c>
      <c r="M34" s="20"/>
      <c r="N34" s="18"/>
      <c r="O34" s="22"/>
    </row>
    <row r="35" customFormat="false" ht="15" hidden="false" customHeight="false" outlineLevel="0" collapsed="false">
      <c r="A35" s="14"/>
      <c r="B35" s="14"/>
      <c r="C35" s="14"/>
      <c r="D35" s="14"/>
      <c r="E35" s="15"/>
      <c r="F35" s="16"/>
      <c r="G35" s="12" t="str">
        <f aca="true">IF($A35="","",IF($F35="","",TODAY()-$F35))</f>
        <v/>
      </c>
      <c r="H35" s="12" t="str">
        <f aca="false">IF($A35="","",IF($F35="","",IF($G35&lt;=30,"Yes","No")))</f>
        <v/>
      </c>
      <c r="I35" s="14"/>
      <c r="J35" s="14"/>
      <c r="K35" s="12" t="str">
        <f aca="false">IF($A35="","",IF($H35&lt;&gt;"Yes",0,IF(OR($C35="Clothing",$C35="Jewellery",$C35="Perfume",$C35="Beauty",$C35="Food"),25,0)+IF($I35="None",30,IF($I35="Link-in-bio",30,IF($I35="Own site",15,0)))+IF($E35="",10,IF($E35&lt;1000,10,IF($E35&lt;=50000,25,IF($E35&lt;=150000,15,5))))+IF($J35="Yes",20,0)))</f>
        <v/>
      </c>
      <c r="L35" s="12" t="str">
        <f aca="false">IF($A35="","",IF($K35&gt;=75,"High",IF($K35&gt;=50,"Medium",IF($K35=0,"Skip","Low"))))</f>
        <v/>
      </c>
      <c r="M35" s="16"/>
      <c r="N35" s="14"/>
      <c r="O35" s="17"/>
    </row>
    <row r="36" customFormat="false" ht="15" hidden="false" customHeight="false" outlineLevel="0" collapsed="false">
      <c r="A36" s="18"/>
      <c r="B36" s="18"/>
      <c r="C36" s="18"/>
      <c r="D36" s="18"/>
      <c r="E36" s="19"/>
      <c r="F36" s="20"/>
      <c r="G36" s="21" t="str">
        <f aca="true">IF($A36="","",IF($F36="","",TODAY()-$F36))</f>
        <v/>
      </c>
      <c r="H36" s="21" t="str">
        <f aca="false">IF($A36="","",IF($F36="","",IF($G36&lt;=30,"Yes","No")))</f>
        <v/>
      </c>
      <c r="I36" s="18"/>
      <c r="J36" s="18"/>
      <c r="K36" s="21" t="str">
        <f aca="false">IF($A36="","",IF($H36&lt;&gt;"Yes",0,IF(OR($C36="Clothing",$C36="Jewellery",$C36="Perfume",$C36="Beauty",$C36="Food"),25,0)+IF($I36="None",30,IF($I36="Link-in-bio",30,IF($I36="Own site",15,0)))+IF($E36="",10,IF($E36&lt;1000,10,IF($E36&lt;=50000,25,IF($E36&lt;=150000,15,5))))+IF($J36="Yes",20,0)))</f>
        <v/>
      </c>
      <c r="L36" s="21" t="str">
        <f aca="false">IF($A36="","",IF($K36&gt;=75,"High",IF($K36&gt;=50,"Medium",IF($K36=0,"Skip","Low"))))</f>
        <v/>
      </c>
      <c r="M36" s="20"/>
      <c r="N36" s="18"/>
      <c r="O36" s="22"/>
    </row>
    <row r="37" customFormat="false" ht="15" hidden="false" customHeight="false" outlineLevel="0" collapsed="false">
      <c r="A37" s="14"/>
      <c r="B37" s="14"/>
      <c r="C37" s="14"/>
      <c r="D37" s="14"/>
      <c r="E37" s="15"/>
      <c r="F37" s="16"/>
      <c r="G37" s="12" t="str">
        <f aca="true">IF($A37="","",IF($F37="","",TODAY()-$F37))</f>
        <v/>
      </c>
      <c r="H37" s="12" t="str">
        <f aca="false">IF($A37="","",IF($F37="","",IF($G37&lt;=30,"Yes","No")))</f>
        <v/>
      </c>
      <c r="I37" s="14"/>
      <c r="J37" s="14"/>
      <c r="K37" s="12" t="str">
        <f aca="false">IF($A37="","",IF($H37&lt;&gt;"Yes",0,IF(OR($C37="Clothing",$C37="Jewellery",$C37="Perfume",$C37="Beauty",$C37="Food"),25,0)+IF($I37="None",30,IF($I37="Link-in-bio",30,IF($I37="Own site",15,0)))+IF($E37="",10,IF($E37&lt;1000,10,IF($E37&lt;=50000,25,IF($E37&lt;=150000,15,5))))+IF($J37="Yes",20,0)))</f>
        <v/>
      </c>
      <c r="L37" s="12" t="str">
        <f aca="false">IF($A37="","",IF($K37&gt;=75,"High",IF($K37&gt;=50,"Medium",IF($K37=0,"Skip","Low"))))</f>
        <v/>
      </c>
      <c r="M37" s="16"/>
      <c r="N37" s="14"/>
      <c r="O37" s="17"/>
    </row>
    <row r="38" customFormat="false" ht="15" hidden="false" customHeight="false" outlineLevel="0" collapsed="false">
      <c r="A38" s="18"/>
      <c r="B38" s="18"/>
      <c r="C38" s="18"/>
      <c r="D38" s="18"/>
      <c r="E38" s="19"/>
      <c r="F38" s="20"/>
      <c r="G38" s="21" t="str">
        <f aca="true">IF($A38="","",IF($F38="","",TODAY()-$F38))</f>
        <v/>
      </c>
      <c r="H38" s="21" t="str">
        <f aca="false">IF($A38="","",IF($F38="","",IF($G38&lt;=30,"Yes","No")))</f>
        <v/>
      </c>
      <c r="I38" s="18"/>
      <c r="J38" s="18"/>
      <c r="K38" s="21" t="str">
        <f aca="false">IF($A38="","",IF($H38&lt;&gt;"Yes",0,IF(OR($C38="Clothing",$C38="Jewellery",$C38="Perfume",$C38="Beauty",$C38="Food"),25,0)+IF($I38="None",30,IF($I38="Link-in-bio",30,IF($I38="Own site",15,0)))+IF($E38="",10,IF($E38&lt;1000,10,IF($E38&lt;=50000,25,IF($E38&lt;=150000,15,5))))+IF($J38="Yes",20,0)))</f>
        <v/>
      </c>
      <c r="L38" s="21" t="str">
        <f aca="false">IF($A38="","",IF($K38&gt;=75,"High",IF($K38&gt;=50,"Medium",IF($K38=0,"Skip","Low"))))</f>
        <v/>
      </c>
      <c r="M38" s="20"/>
      <c r="N38" s="18"/>
      <c r="O38" s="22"/>
    </row>
    <row r="39" customFormat="false" ht="15" hidden="false" customHeight="false" outlineLevel="0" collapsed="false">
      <c r="A39" s="14"/>
      <c r="B39" s="14"/>
      <c r="C39" s="14"/>
      <c r="D39" s="14"/>
      <c r="E39" s="15"/>
      <c r="F39" s="16"/>
      <c r="G39" s="12" t="str">
        <f aca="true">IF($A39="","",IF($F39="","",TODAY()-$F39))</f>
        <v/>
      </c>
      <c r="H39" s="12" t="str">
        <f aca="false">IF($A39="","",IF($F39="","",IF($G39&lt;=30,"Yes","No")))</f>
        <v/>
      </c>
      <c r="I39" s="14"/>
      <c r="J39" s="14"/>
      <c r="K39" s="12" t="str">
        <f aca="false">IF($A39="","",IF($H39&lt;&gt;"Yes",0,IF(OR($C39="Clothing",$C39="Jewellery",$C39="Perfume",$C39="Beauty",$C39="Food"),25,0)+IF($I39="None",30,IF($I39="Link-in-bio",30,IF($I39="Own site",15,0)))+IF($E39="",10,IF($E39&lt;1000,10,IF($E39&lt;=50000,25,IF($E39&lt;=150000,15,5))))+IF($J39="Yes",20,0)))</f>
        <v/>
      </c>
      <c r="L39" s="12" t="str">
        <f aca="false">IF($A39="","",IF($K39&gt;=75,"High",IF($K39&gt;=50,"Medium",IF($K39=0,"Skip","Low"))))</f>
        <v/>
      </c>
      <c r="M39" s="16"/>
      <c r="N39" s="14"/>
      <c r="O39" s="17"/>
    </row>
    <row r="40" customFormat="false" ht="15" hidden="false" customHeight="false" outlineLevel="0" collapsed="false">
      <c r="A40" s="18"/>
      <c r="B40" s="18"/>
      <c r="C40" s="18"/>
      <c r="D40" s="18"/>
      <c r="E40" s="19"/>
      <c r="F40" s="20"/>
      <c r="G40" s="21" t="str">
        <f aca="true">IF($A40="","",IF($F40="","",TODAY()-$F40))</f>
        <v/>
      </c>
      <c r="H40" s="21" t="str">
        <f aca="false">IF($A40="","",IF($F40="","",IF($G40&lt;=30,"Yes","No")))</f>
        <v/>
      </c>
      <c r="I40" s="18"/>
      <c r="J40" s="18"/>
      <c r="K40" s="21" t="str">
        <f aca="false">IF($A40="","",IF($H40&lt;&gt;"Yes",0,IF(OR($C40="Clothing",$C40="Jewellery",$C40="Perfume",$C40="Beauty",$C40="Food"),25,0)+IF($I40="None",30,IF($I40="Link-in-bio",30,IF($I40="Own site",15,0)))+IF($E40="",10,IF($E40&lt;1000,10,IF($E40&lt;=50000,25,IF($E40&lt;=150000,15,5))))+IF($J40="Yes",20,0)))</f>
        <v/>
      </c>
      <c r="L40" s="21" t="str">
        <f aca="false">IF($A40="","",IF($K40&gt;=75,"High",IF($K40&gt;=50,"Medium",IF($K40=0,"Skip","Low"))))</f>
        <v/>
      </c>
      <c r="M40" s="20"/>
      <c r="N40" s="18"/>
      <c r="O40" s="22"/>
    </row>
    <row r="41" customFormat="false" ht="15" hidden="false" customHeight="false" outlineLevel="0" collapsed="false">
      <c r="A41" s="14"/>
      <c r="B41" s="14"/>
      <c r="C41" s="14"/>
      <c r="D41" s="14"/>
      <c r="E41" s="15"/>
      <c r="F41" s="16"/>
      <c r="G41" s="12" t="str">
        <f aca="true">IF($A41="","",IF($F41="","",TODAY()-$F41))</f>
        <v/>
      </c>
      <c r="H41" s="12" t="str">
        <f aca="false">IF($A41="","",IF($F41="","",IF($G41&lt;=30,"Yes","No")))</f>
        <v/>
      </c>
      <c r="I41" s="14"/>
      <c r="J41" s="14"/>
      <c r="K41" s="12" t="str">
        <f aca="false">IF($A41="","",IF($H41&lt;&gt;"Yes",0,IF(OR($C41="Clothing",$C41="Jewellery",$C41="Perfume",$C41="Beauty",$C41="Food"),25,0)+IF($I41="None",30,IF($I41="Link-in-bio",30,IF($I41="Own site",15,0)))+IF($E41="",10,IF($E41&lt;1000,10,IF($E41&lt;=50000,25,IF($E41&lt;=150000,15,5))))+IF($J41="Yes",20,0)))</f>
        <v/>
      </c>
      <c r="L41" s="12" t="str">
        <f aca="false">IF($A41="","",IF($K41&gt;=75,"High",IF($K41&gt;=50,"Medium",IF($K41=0,"Skip","Low"))))</f>
        <v/>
      </c>
      <c r="M41" s="16"/>
      <c r="N41" s="14"/>
      <c r="O41" s="17"/>
    </row>
    <row r="42" customFormat="false" ht="15" hidden="false" customHeight="false" outlineLevel="0" collapsed="false">
      <c r="A42" s="18"/>
      <c r="B42" s="18"/>
      <c r="C42" s="18"/>
      <c r="D42" s="18"/>
      <c r="E42" s="19"/>
      <c r="F42" s="20"/>
      <c r="G42" s="21" t="str">
        <f aca="true">IF($A42="","",IF($F42="","",TODAY()-$F42))</f>
        <v/>
      </c>
      <c r="H42" s="21" t="str">
        <f aca="false">IF($A42="","",IF($F42="","",IF($G42&lt;=30,"Yes","No")))</f>
        <v/>
      </c>
      <c r="I42" s="18"/>
      <c r="J42" s="18"/>
      <c r="K42" s="21" t="str">
        <f aca="false">IF($A42="","",IF($H42&lt;&gt;"Yes",0,IF(OR($C42="Clothing",$C42="Jewellery",$C42="Perfume",$C42="Beauty",$C42="Food"),25,0)+IF($I42="None",30,IF($I42="Link-in-bio",30,IF($I42="Own site",15,0)))+IF($E42="",10,IF($E42&lt;1000,10,IF($E42&lt;=50000,25,IF($E42&lt;=150000,15,5))))+IF($J42="Yes",20,0)))</f>
        <v/>
      </c>
      <c r="L42" s="21" t="str">
        <f aca="false">IF($A42="","",IF($K42&gt;=75,"High",IF($K42&gt;=50,"Medium",IF($K42=0,"Skip","Low"))))</f>
        <v/>
      </c>
      <c r="M42" s="20"/>
      <c r="N42" s="18"/>
      <c r="O42" s="22"/>
    </row>
    <row r="43" customFormat="false" ht="15" hidden="false" customHeight="false" outlineLevel="0" collapsed="false">
      <c r="A43" s="14"/>
      <c r="B43" s="14"/>
      <c r="C43" s="14"/>
      <c r="D43" s="14"/>
      <c r="E43" s="15"/>
      <c r="F43" s="16"/>
      <c r="G43" s="12" t="str">
        <f aca="true">IF($A43="","",IF($F43="","",TODAY()-$F43))</f>
        <v/>
      </c>
      <c r="H43" s="12" t="str">
        <f aca="false">IF($A43="","",IF($F43="","",IF($G43&lt;=30,"Yes","No")))</f>
        <v/>
      </c>
      <c r="I43" s="14"/>
      <c r="J43" s="14"/>
      <c r="K43" s="12" t="str">
        <f aca="false">IF($A43="","",IF($H43&lt;&gt;"Yes",0,IF(OR($C43="Clothing",$C43="Jewellery",$C43="Perfume",$C43="Beauty",$C43="Food"),25,0)+IF($I43="None",30,IF($I43="Link-in-bio",30,IF($I43="Own site",15,0)))+IF($E43="",10,IF($E43&lt;1000,10,IF($E43&lt;=50000,25,IF($E43&lt;=150000,15,5))))+IF($J43="Yes",20,0)))</f>
        <v/>
      </c>
      <c r="L43" s="12" t="str">
        <f aca="false">IF($A43="","",IF($K43&gt;=75,"High",IF($K43&gt;=50,"Medium",IF($K43=0,"Skip","Low"))))</f>
        <v/>
      </c>
      <c r="M43" s="16"/>
      <c r="N43" s="14"/>
      <c r="O43" s="17"/>
    </row>
    <row r="44" customFormat="false" ht="15" hidden="false" customHeight="false" outlineLevel="0" collapsed="false">
      <c r="A44" s="18"/>
      <c r="B44" s="18"/>
      <c r="C44" s="18"/>
      <c r="D44" s="18"/>
      <c r="E44" s="19"/>
      <c r="F44" s="20"/>
      <c r="G44" s="21" t="str">
        <f aca="true">IF($A44="","",IF($F44="","",TODAY()-$F44))</f>
        <v/>
      </c>
      <c r="H44" s="21" t="str">
        <f aca="false">IF($A44="","",IF($F44="","",IF($G44&lt;=30,"Yes","No")))</f>
        <v/>
      </c>
      <c r="I44" s="18"/>
      <c r="J44" s="18"/>
      <c r="K44" s="21" t="str">
        <f aca="false">IF($A44="","",IF($H44&lt;&gt;"Yes",0,IF(OR($C44="Clothing",$C44="Jewellery",$C44="Perfume",$C44="Beauty",$C44="Food"),25,0)+IF($I44="None",30,IF($I44="Link-in-bio",30,IF($I44="Own site",15,0)))+IF($E44="",10,IF($E44&lt;1000,10,IF($E44&lt;=50000,25,IF($E44&lt;=150000,15,5))))+IF($J44="Yes",20,0)))</f>
        <v/>
      </c>
      <c r="L44" s="21" t="str">
        <f aca="false">IF($A44="","",IF($K44&gt;=75,"High",IF($K44&gt;=50,"Medium",IF($K44=0,"Skip","Low"))))</f>
        <v/>
      </c>
      <c r="M44" s="20"/>
      <c r="N44" s="18"/>
      <c r="O44" s="22"/>
    </row>
    <row r="45" customFormat="false" ht="15" hidden="false" customHeight="false" outlineLevel="0" collapsed="false">
      <c r="A45" s="14"/>
      <c r="B45" s="14"/>
      <c r="C45" s="14"/>
      <c r="D45" s="14"/>
      <c r="E45" s="15"/>
      <c r="F45" s="16"/>
      <c r="G45" s="12" t="str">
        <f aca="true">IF($A45="","",IF($F45="","",TODAY()-$F45))</f>
        <v/>
      </c>
      <c r="H45" s="12" t="str">
        <f aca="false">IF($A45="","",IF($F45="","",IF($G45&lt;=30,"Yes","No")))</f>
        <v/>
      </c>
      <c r="I45" s="14"/>
      <c r="J45" s="14"/>
      <c r="K45" s="12" t="str">
        <f aca="false">IF($A45="","",IF($H45&lt;&gt;"Yes",0,IF(OR($C45="Clothing",$C45="Jewellery",$C45="Perfume",$C45="Beauty",$C45="Food"),25,0)+IF($I45="None",30,IF($I45="Link-in-bio",30,IF($I45="Own site",15,0)))+IF($E45="",10,IF($E45&lt;1000,10,IF($E45&lt;=50000,25,IF($E45&lt;=150000,15,5))))+IF($J45="Yes",20,0)))</f>
        <v/>
      </c>
      <c r="L45" s="12" t="str">
        <f aca="false">IF($A45="","",IF($K45&gt;=75,"High",IF($K45&gt;=50,"Medium",IF($K45=0,"Skip","Low"))))</f>
        <v/>
      </c>
      <c r="M45" s="16"/>
      <c r="N45" s="14"/>
      <c r="O45" s="17"/>
    </row>
    <row r="46" customFormat="false" ht="15" hidden="false" customHeight="false" outlineLevel="0" collapsed="false">
      <c r="A46" s="18"/>
      <c r="B46" s="18"/>
      <c r="C46" s="18"/>
      <c r="D46" s="18"/>
      <c r="E46" s="19"/>
      <c r="F46" s="20"/>
      <c r="G46" s="21" t="str">
        <f aca="true">IF($A46="","",IF($F46="","",TODAY()-$F46))</f>
        <v/>
      </c>
      <c r="H46" s="21" t="str">
        <f aca="false">IF($A46="","",IF($F46="","",IF($G46&lt;=30,"Yes","No")))</f>
        <v/>
      </c>
      <c r="I46" s="18"/>
      <c r="J46" s="18"/>
      <c r="K46" s="21" t="str">
        <f aca="false">IF($A46="","",IF($H46&lt;&gt;"Yes",0,IF(OR($C46="Clothing",$C46="Jewellery",$C46="Perfume",$C46="Beauty",$C46="Food"),25,0)+IF($I46="None",30,IF($I46="Link-in-bio",30,IF($I46="Own site",15,0)))+IF($E46="",10,IF($E46&lt;1000,10,IF($E46&lt;=50000,25,IF($E46&lt;=150000,15,5))))+IF($J46="Yes",20,0)))</f>
        <v/>
      </c>
      <c r="L46" s="21" t="str">
        <f aca="false">IF($A46="","",IF($K46&gt;=75,"High",IF($K46&gt;=50,"Medium",IF($K46=0,"Skip","Low"))))</f>
        <v/>
      </c>
      <c r="M46" s="20"/>
      <c r="N46" s="18"/>
      <c r="O46" s="22"/>
    </row>
    <row r="47" customFormat="false" ht="15" hidden="false" customHeight="false" outlineLevel="0" collapsed="false">
      <c r="A47" s="14"/>
      <c r="B47" s="14"/>
      <c r="C47" s="14"/>
      <c r="D47" s="14"/>
      <c r="E47" s="15"/>
      <c r="F47" s="16"/>
      <c r="G47" s="12" t="str">
        <f aca="true">IF($A47="","",IF($F47="","",TODAY()-$F47))</f>
        <v/>
      </c>
      <c r="H47" s="12" t="str">
        <f aca="false">IF($A47="","",IF($F47="","",IF($G47&lt;=30,"Yes","No")))</f>
        <v/>
      </c>
      <c r="I47" s="14"/>
      <c r="J47" s="14"/>
      <c r="K47" s="12" t="str">
        <f aca="false">IF($A47="","",IF($H47&lt;&gt;"Yes",0,IF(OR($C47="Clothing",$C47="Jewellery",$C47="Perfume",$C47="Beauty",$C47="Food"),25,0)+IF($I47="None",30,IF($I47="Link-in-bio",30,IF($I47="Own site",15,0)))+IF($E47="",10,IF($E47&lt;1000,10,IF($E47&lt;=50000,25,IF($E47&lt;=150000,15,5))))+IF($J47="Yes",20,0)))</f>
        <v/>
      </c>
      <c r="L47" s="12" t="str">
        <f aca="false">IF($A47="","",IF($K47&gt;=75,"High",IF($K47&gt;=50,"Medium",IF($K47=0,"Skip","Low"))))</f>
        <v/>
      </c>
      <c r="M47" s="16"/>
      <c r="N47" s="14"/>
      <c r="O47" s="17"/>
    </row>
    <row r="48" customFormat="false" ht="15" hidden="false" customHeight="false" outlineLevel="0" collapsed="false">
      <c r="A48" s="18"/>
      <c r="B48" s="18"/>
      <c r="C48" s="18"/>
      <c r="D48" s="18"/>
      <c r="E48" s="19"/>
      <c r="F48" s="20"/>
      <c r="G48" s="21" t="str">
        <f aca="true">IF($A48="","",IF($F48="","",TODAY()-$F48))</f>
        <v/>
      </c>
      <c r="H48" s="21" t="str">
        <f aca="false">IF($A48="","",IF($F48="","",IF($G48&lt;=30,"Yes","No")))</f>
        <v/>
      </c>
      <c r="I48" s="18"/>
      <c r="J48" s="18"/>
      <c r="K48" s="21" t="str">
        <f aca="false">IF($A48="","",IF($H48&lt;&gt;"Yes",0,IF(OR($C48="Clothing",$C48="Jewellery",$C48="Perfume",$C48="Beauty",$C48="Food"),25,0)+IF($I48="None",30,IF($I48="Link-in-bio",30,IF($I48="Own site",15,0)))+IF($E48="",10,IF($E48&lt;1000,10,IF($E48&lt;=50000,25,IF($E48&lt;=150000,15,5))))+IF($J48="Yes",20,0)))</f>
        <v/>
      </c>
      <c r="L48" s="21" t="str">
        <f aca="false">IF($A48="","",IF($K48&gt;=75,"High",IF($K48&gt;=50,"Medium",IF($K48=0,"Skip","Low"))))</f>
        <v/>
      </c>
      <c r="M48" s="20"/>
      <c r="N48" s="18"/>
      <c r="O48" s="22"/>
    </row>
    <row r="49" customFormat="false" ht="15" hidden="false" customHeight="false" outlineLevel="0" collapsed="false">
      <c r="A49" s="14"/>
      <c r="B49" s="14"/>
      <c r="C49" s="14"/>
      <c r="D49" s="14"/>
      <c r="E49" s="15"/>
      <c r="F49" s="16"/>
      <c r="G49" s="12" t="str">
        <f aca="true">IF($A49="","",IF($F49="","",TODAY()-$F49))</f>
        <v/>
      </c>
      <c r="H49" s="12" t="str">
        <f aca="false">IF($A49="","",IF($F49="","",IF($G49&lt;=30,"Yes","No")))</f>
        <v/>
      </c>
      <c r="I49" s="14"/>
      <c r="J49" s="14"/>
      <c r="K49" s="12" t="str">
        <f aca="false">IF($A49="","",IF($H49&lt;&gt;"Yes",0,IF(OR($C49="Clothing",$C49="Jewellery",$C49="Perfume",$C49="Beauty",$C49="Food"),25,0)+IF($I49="None",30,IF($I49="Link-in-bio",30,IF($I49="Own site",15,0)))+IF($E49="",10,IF($E49&lt;1000,10,IF($E49&lt;=50000,25,IF($E49&lt;=150000,15,5))))+IF($J49="Yes",20,0)))</f>
        <v/>
      </c>
      <c r="L49" s="12" t="str">
        <f aca="false">IF($A49="","",IF($K49&gt;=75,"High",IF($K49&gt;=50,"Medium",IF($K49=0,"Skip","Low"))))</f>
        <v/>
      </c>
      <c r="M49" s="16"/>
      <c r="N49" s="14"/>
      <c r="O49" s="17"/>
    </row>
    <row r="50" customFormat="false" ht="15" hidden="false" customHeight="false" outlineLevel="0" collapsed="false">
      <c r="A50" s="18"/>
      <c r="B50" s="18"/>
      <c r="C50" s="18"/>
      <c r="D50" s="18"/>
      <c r="E50" s="19"/>
      <c r="F50" s="20"/>
      <c r="G50" s="21" t="str">
        <f aca="true">IF($A50="","",IF($F50="","",TODAY()-$F50))</f>
        <v/>
      </c>
      <c r="H50" s="21" t="str">
        <f aca="false">IF($A50="","",IF($F50="","",IF($G50&lt;=30,"Yes","No")))</f>
        <v/>
      </c>
      <c r="I50" s="18"/>
      <c r="J50" s="18"/>
      <c r="K50" s="21" t="str">
        <f aca="false">IF($A50="","",IF($H50&lt;&gt;"Yes",0,IF(OR($C50="Clothing",$C50="Jewellery",$C50="Perfume",$C50="Beauty",$C50="Food"),25,0)+IF($I50="None",30,IF($I50="Link-in-bio",30,IF($I50="Own site",15,0)))+IF($E50="",10,IF($E50&lt;1000,10,IF($E50&lt;=50000,25,IF($E50&lt;=150000,15,5))))+IF($J50="Yes",20,0)))</f>
        <v/>
      </c>
      <c r="L50" s="21" t="str">
        <f aca="false">IF($A50="","",IF($K50&gt;=75,"High",IF($K50&gt;=50,"Medium",IF($K50=0,"Skip","Low"))))</f>
        <v/>
      </c>
      <c r="M50" s="20"/>
      <c r="N50" s="18"/>
      <c r="O50" s="22"/>
    </row>
    <row r="51" customFormat="false" ht="15" hidden="false" customHeight="false" outlineLevel="0" collapsed="false">
      <c r="A51" s="14"/>
      <c r="B51" s="14"/>
      <c r="C51" s="14"/>
      <c r="D51" s="14"/>
      <c r="E51" s="15"/>
      <c r="F51" s="16"/>
      <c r="G51" s="12" t="str">
        <f aca="true">IF($A51="","",IF($F51="","",TODAY()-$F51))</f>
        <v/>
      </c>
      <c r="H51" s="12" t="str">
        <f aca="false">IF($A51="","",IF($F51="","",IF($G51&lt;=30,"Yes","No")))</f>
        <v/>
      </c>
      <c r="I51" s="14"/>
      <c r="J51" s="14"/>
      <c r="K51" s="12" t="str">
        <f aca="false">IF($A51="","",IF($H51&lt;&gt;"Yes",0,IF(OR($C51="Clothing",$C51="Jewellery",$C51="Perfume",$C51="Beauty",$C51="Food"),25,0)+IF($I51="None",30,IF($I51="Link-in-bio",30,IF($I51="Own site",15,0)))+IF($E51="",10,IF($E51&lt;1000,10,IF($E51&lt;=50000,25,IF($E51&lt;=150000,15,5))))+IF($J51="Yes",20,0)))</f>
        <v/>
      </c>
      <c r="L51" s="12" t="str">
        <f aca="false">IF($A51="","",IF($K51&gt;=75,"High",IF($K51&gt;=50,"Medium",IF($K51=0,"Skip","Low"))))</f>
        <v/>
      </c>
      <c r="M51" s="16"/>
      <c r="N51" s="14"/>
      <c r="O51" s="17"/>
    </row>
    <row r="52" customFormat="false" ht="15" hidden="false" customHeight="false" outlineLevel="0" collapsed="false">
      <c r="A52" s="18"/>
      <c r="B52" s="18"/>
      <c r="C52" s="18"/>
      <c r="D52" s="18"/>
      <c r="E52" s="19"/>
      <c r="F52" s="20"/>
      <c r="G52" s="21" t="str">
        <f aca="true">IF($A52="","",IF($F52="","",TODAY()-$F52))</f>
        <v/>
      </c>
      <c r="H52" s="21" t="str">
        <f aca="false">IF($A52="","",IF($F52="","",IF($G52&lt;=30,"Yes","No")))</f>
        <v/>
      </c>
      <c r="I52" s="18"/>
      <c r="J52" s="18"/>
      <c r="K52" s="21" t="str">
        <f aca="false">IF($A52="","",IF($H52&lt;&gt;"Yes",0,IF(OR($C52="Clothing",$C52="Jewellery",$C52="Perfume",$C52="Beauty",$C52="Food"),25,0)+IF($I52="None",30,IF($I52="Link-in-bio",30,IF($I52="Own site",15,0)))+IF($E52="",10,IF($E52&lt;1000,10,IF($E52&lt;=50000,25,IF($E52&lt;=150000,15,5))))+IF($J52="Yes",20,0)))</f>
        <v/>
      </c>
      <c r="L52" s="21" t="str">
        <f aca="false">IF($A52="","",IF($K52&gt;=75,"High",IF($K52&gt;=50,"Medium",IF($K52=0,"Skip","Low"))))</f>
        <v/>
      </c>
      <c r="M52" s="20"/>
      <c r="N52" s="18"/>
      <c r="O52" s="22"/>
    </row>
    <row r="53" customFormat="false" ht="15" hidden="false" customHeight="false" outlineLevel="0" collapsed="false">
      <c r="A53" s="14"/>
      <c r="B53" s="14"/>
      <c r="C53" s="14"/>
      <c r="D53" s="14"/>
      <c r="E53" s="15"/>
      <c r="F53" s="16"/>
      <c r="G53" s="12" t="str">
        <f aca="true">IF($A53="","",IF($F53="","",TODAY()-$F53))</f>
        <v/>
      </c>
      <c r="H53" s="12" t="str">
        <f aca="false">IF($A53="","",IF($F53="","",IF($G53&lt;=30,"Yes","No")))</f>
        <v/>
      </c>
      <c r="I53" s="14"/>
      <c r="J53" s="14"/>
      <c r="K53" s="12" t="str">
        <f aca="false">IF($A53="","",IF($H53&lt;&gt;"Yes",0,IF(OR($C53="Clothing",$C53="Jewellery",$C53="Perfume",$C53="Beauty",$C53="Food"),25,0)+IF($I53="None",30,IF($I53="Link-in-bio",30,IF($I53="Own site",15,0)))+IF($E53="",10,IF($E53&lt;1000,10,IF($E53&lt;=50000,25,IF($E53&lt;=150000,15,5))))+IF($J53="Yes",20,0)))</f>
        <v/>
      </c>
      <c r="L53" s="12" t="str">
        <f aca="false">IF($A53="","",IF($K53&gt;=75,"High",IF($K53&gt;=50,"Medium",IF($K53=0,"Skip","Low"))))</f>
        <v/>
      </c>
      <c r="M53" s="16"/>
      <c r="N53" s="14"/>
      <c r="O53" s="17"/>
    </row>
    <row r="54" customFormat="false" ht="15" hidden="false" customHeight="false" outlineLevel="0" collapsed="false">
      <c r="A54" s="18"/>
      <c r="B54" s="18"/>
      <c r="C54" s="18"/>
      <c r="D54" s="18"/>
      <c r="E54" s="19"/>
      <c r="F54" s="20"/>
      <c r="G54" s="21" t="str">
        <f aca="true">IF($A54="","",IF($F54="","",TODAY()-$F54))</f>
        <v/>
      </c>
      <c r="H54" s="21" t="str">
        <f aca="false">IF($A54="","",IF($F54="","",IF($G54&lt;=30,"Yes","No")))</f>
        <v/>
      </c>
      <c r="I54" s="18"/>
      <c r="J54" s="18"/>
      <c r="K54" s="21" t="str">
        <f aca="false">IF($A54="","",IF($H54&lt;&gt;"Yes",0,IF(OR($C54="Clothing",$C54="Jewellery",$C54="Perfume",$C54="Beauty",$C54="Food"),25,0)+IF($I54="None",30,IF($I54="Link-in-bio",30,IF($I54="Own site",15,0)))+IF($E54="",10,IF($E54&lt;1000,10,IF($E54&lt;=50000,25,IF($E54&lt;=150000,15,5))))+IF($J54="Yes",20,0)))</f>
        <v/>
      </c>
      <c r="L54" s="21" t="str">
        <f aca="false">IF($A54="","",IF($K54&gt;=75,"High",IF($K54&gt;=50,"Medium",IF($K54=0,"Skip","Low"))))</f>
        <v/>
      </c>
      <c r="M54" s="20"/>
      <c r="N54" s="18"/>
      <c r="O54" s="22"/>
    </row>
    <row r="55" customFormat="false" ht="15" hidden="false" customHeight="false" outlineLevel="0" collapsed="false">
      <c r="A55" s="14"/>
      <c r="B55" s="14"/>
      <c r="C55" s="14"/>
      <c r="D55" s="14"/>
      <c r="E55" s="15"/>
      <c r="F55" s="16"/>
      <c r="G55" s="12" t="str">
        <f aca="true">IF($A55="","",IF($F55="","",TODAY()-$F55))</f>
        <v/>
      </c>
      <c r="H55" s="12" t="str">
        <f aca="false">IF($A55="","",IF($F55="","",IF($G55&lt;=30,"Yes","No")))</f>
        <v/>
      </c>
      <c r="I55" s="14"/>
      <c r="J55" s="14"/>
      <c r="K55" s="12" t="str">
        <f aca="false">IF($A55="","",IF($H55&lt;&gt;"Yes",0,IF(OR($C55="Clothing",$C55="Jewellery",$C55="Perfume",$C55="Beauty",$C55="Food"),25,0)+IF($I55="None",30,IF($I55="Link-in-bio",30,IF($I55="Own site",15,0)))+IF($E55="",10,IF($E55&lt;1000,10,IF($E55&lt;=50000,25,IF($E55&lt;=150000,15,5))))+IF($J55="Yes",20,0)))</f>
        <v/>
      </c>
      <c r="L55" s="12" t="str">
        <f aca="false">IF($A55="","",IF($K55&gt;=75,"High",IF($K55&gt;=50,"Medium",IF($K55=0,"Skip","Low"))))</f>
        <v/>
      </c>
      <c r="M55" s="16"/>
      <c r="N55" s="14"/>
      <c r="O55" s="17"/>
    </row>
    <row r="56" customFormat="false" ht="15" hidden="false" customHeight="false" outlineLevel="0" collapsed="false">
      <c r="A56" s="18"/>
      <c r="B56" s="18"/>
      <c r="C56" s="18"/>
      <c r="D56" s="18"/>
      <c r="E56" s="19"/>
      <c r="F56" s="20"/>
      <c r="G56" s="21" t="str">
        <f aca="true">IF($A56="","",IF($F56="","",TODAY()-$F56))</f>
        <v/>
      </c>
      <c r="H56" s="21" t="str">
        <f aca="false">IF($A56="","",IF($F56="","",IF($G56&lt;=30,"Yes","No")))</f>
        <v/>
      </c>
      <c r="I56" s="18"/>
      <c r="J56" s="18"/>
      <c r="K56" s="21" t="str">
        <f aca="false">IF($A56="","",IF($H56&lt;&gt;"Yes",0,IF(OR($C56="Clothing",$C56="Jewellery",$C56="Perfume",$C56="Beauty",$C56="Food"),25,0)+IF($I56="None",30,IF($I56="Link-in-bio",30,IF($I56="Own site",15,0)))+IF($E56="",10,IF($E56&lt;1000,10,IF($E56&lt;=50000,25,IF($E56&lt;=150000,15,5))))+IF($J56="Yes",20,0)))</f>
        <v/>
      </c>
      <c r="L56" s="21" t="str">
        <f aca="false">IF($A56="","",IF($K56&gt;=75,"High",IF($K56&gt;=50,"Medium",IF($K56=0,"Skip","Low"))))</f>
        <v/>
      </c>
      <c r="M56" s="20"/>
      <c r="N56" s="18"/>
      <c r="O56" s="22"/>
    </row>
    <row r="57" customFormat="false" ht="15" hidden="false" customHeight="false" outlineLevel="0" collapsed="false">
      <c r="A57" s="14"/>
      <c r="B57" s="14"/>
      <c r="C57" s="14"/>
      <c r="D57" s="14"/>
      <c r="E57" s="15"/>
      <c r="F57" s="16"/>
      <c r="G57" s="12" t="str">
        <f aca="true">IF($A57="","",IF($F57="","",TODAY()-$F57))</f>
        <v/>
      </c>
      <c r="H57" s="12" t="str">
        <f aca="false">IF($A57="","",IF($F57="","",IF($G57&lt;=30,"Yes","No")))</f>
        <v/>
      </c>
      <c r="I57" s="14"/>
      <c r="J57" s="14"/>
      <c r="K57" s="12" t="str">
        <f aca="false">IF($A57="","",IF($H57&lt;&gt;"Yes",0,IF(OR($C57="Clothing",$C57="Jewellery",$C57="Perfume",$C57="Beauty",$C57="Food"),25,0)+IF($I57="None",30,IF($I57="Link-in-bio",30,IF($I57="Own site",15,0)))+IF($E57="",10,IF($E57&lt;1000,10,IF($E57&lt;=50000,25,IF($E57&lt;=150000,15,5))))+IF($J57="Yes",20,0)))</f>
        <v/>
      </c>
      <c r="L57" s="12" t="str">
        <f aca="false">IF($A57="","",IF($K57&gt;=75,"High",IF($K57&gt;=50,"Medium",IF($K57=0,"Skip","Low"))))</f>
        <v/>
      </c>
      <c r="M57" s="16"/>
      <c r="N57" s="14"/>
      <c r="O57" s="17"/>
    </row>
    <row r="58" customFormat="false" ht="15" hidden="false" customHeight="false" outlineLevel="0" collapsed="false">
      <c r="A58" s="18"/>
      <c r="B58" s="18"/>
      <c r="C58" s="18"/>
      <c r="D58" s="18"/>
      <c r="E58" s="19"/>
      <c r="F58" s="20"/>
      <c r="G58" s="21" t="str">
        <f aca="true">IF($A58="","",IF($F58="","",TODAY()-$F58))</f>
        <v/>
      </c>
      <c r="H58" s="21" t="str">
        <f aca="false">IF($A58="","",IF($F58="","",IF($G58&lt;=30,"Yes","No")))</f>
        <v/>
      </c>
      <c r="I58" s="18"/>
      <c r="J58" s="18"/>
      <c r="K58" s="21" t="str">
        <f aca="false">IF($A58="","",IF($H58&lt;&gt;"Yes",0,IF(OR($C58="Clothing",$C58="Jewellery",$C58="Perfume",$C58="Beauty",$C58="Food"),25,0)+IF($I58="None",30,IF($I58="Link-in-bio",30,IF($I58="Own site",15,0)))+IF($E58="",10,IF($E58&lt;1000,10,IF($E58&lt;=50000,25,IF($E58&lt;=150000,15,5))))+IF($J58="Yes",20,0)))</f>
        <v/>
      </c>
      <c r="L58" s="21" t="str">
        <f aca="false">IF($A58="","",IF($K58&gt;=75,"High",IF($K58&gt;=50,"Medium",IF($K58=0,"Skip","Low"))))</f>
        <v/>
      </c>
      <c r="M58" s="20"/>
      <c r="N58" s="18"/>
      <c r="O58" s="22"/>
    </row>
    <row r="59" customFormat="false" ht="15" hidden="false" customHeight="false" outlineLevel="0" collapsed="false">
      <c r="A59" s="14"/>
      <c r="B59" s="14"/>
      <c r="C59" s="14"/>
      <c r="D59" s="14"/>
      <c r="E59" s="15"/>
      <c r="F59" s="16"/>
      <c r="G59" s="12" t="str">
        <f aca="true">IF($A59="","",IF($F59="","",TODAY()-$F59))</f>
        <v/>
      </c>
      <c r="H59" s="12" t="str">
        <f aca="false">IF($A59="","",IF($F59="","",IF($G59&lt;=30,"Yes","No")))</f>
        <v/>
      </c>
      <c r="I59" s="14"/>
      <c r="J59" s="14"/>
      <c r="K59" s="12" t="str">
        <f aca="false">IF($A59="","",IF($H59&lt;&gt;"Yes",0,IF(OR($C59="Clothing",$C59="Jewellery",$C59="Perfume",$C59="Beauty",$C59="Food"),25,0)+IF($I59="None",30,IF($I59="Link-in-bio",30,IF($I59="Own site",15,0)))+IF($E59="",10,IF($E59&lt;1000,10,IF($E59&lt;=50000,25,IF($E59&lt;=150000,15,5))))+IF($J59="Yes",20,0)))</f>
        <v/>
      </c>
      <c r="L59" s="12" t="str">
        <f aca="false">IF($A59="","",IF($K59&gt;=75,"High",IF($K59&gt;=50,"Medium",IF($K59=0,"Skip","Low"))))</f>
        <v/>
      </c>
      <c r="M59" s="16"/>
      <c r="N59" s="14"/>
      <c r="O59" s="17"/>
    </row>
    <row r="60" customFormat="false" ht="15" hidden="false" customHeight="false" outlineLevel="0" collapsed="false">
      <c r="A60" s="18"/>
      <c r="B60" s="18"/>
      <c r="C60" s="18"/>
      <c r="D60" s="18"/>
      <c r="E60" s="19"/>
      <c r="F60" s="20"/>
      <c r="G60" s="21" t="str">
        <f aca="true">IF($A60="","",IF($F60="","",TODAY()-$F60))</f>
        <v/>
      </c>
      <c r="H60" s="21" t="str">
        <f aca="false">IF($A60="","",IF($F60="","",IF($G60&lt;=30,"Yes","No")))</f>
        <v/>
      </c>
      <c r="I60" s="18"/>
      <c r="J60" s="18"/>
      <c r="K60" s="21" t="str">
        <f aca="false">IF($A60="","",IF($H60&lt;&gt;"Yes",0,IF(OR($C60="Clothing",$C60="Jewellery",$C60="Perfume",$C60="Beauty",$C60="Food"),25,0)+IF($I60="None",30,IF($I60="Link-in-bio",30,IF($I60="Own site",15,0)))+IF($E60="",10,IF($E60&lt;1000,10,IF($E60&lt;=50000,25,IF($E60&lt;=150000,15,5))))+IF($J60="Yes",20,0)))</f>
        <v/>
      </c>
      <c r="L60" s="21" t="str">
        <f aca="false">IF($A60="","",IF($K60&gt;=75,"High",IF($K60&gt;=50,"Medium",IF($K60=0,"Skip","Low"))))</f>
        <v/>
      </c>
      <c r="M60" s="20"/>
      <c r="N60" s="18"/>
      <c r="O60" s="22"/>
    </row>
    <row r="61" customFormat="false" ht="15" hidden="false" customHeight="false" outlineLevel="0" collapsed="false">
      <c r="A61" s="14"/>
      <c r="B61" s="14"/>
      <c r="C61" s="14"/>
      <c r="D61" s="14"/>
      <c r="E61" s="15"/>
      <c r="F61" s="16"/>
      <c r="G61" s="12" t="str">
        <f aca="true">IF($A61="","",IF($F61="","",TODAY()-$F61))</f>
        <v/>
      </c>
      <c r="H61" s="12" t="str">
        <f aca="false">IF($A61="","",IF($F61="","",IF($G61&lt;=30,"Yes","No")))</f>
        <v/>
      </c>
      <c r="I61" s="14"/>
      <c r="J61" s="14"/>
      <c r="K61" s="12" t="str">
        <f aca="false">IF($A61="","",IF($H61&lt;&gt;"Yes",0,IF(OR($C61="Clothing",$C61="Jewellery",$C61="Perfume",$C61="Beauty",$C61="Food"),25,0)+IF($I61="None",30,IF($I61="Link-in-bio",30,IF($I61="Own site",15,0)))+IF($E61="",10,IF($E61&lt;1000,10,IF($E61&lt;=50000,25,IF($E61&lt;=150000,15,5))))+IF($J61="Yes",20,0)))</f>
        <v/>
      </c>
      <c r="L61" s="12" t="str">
        <f aca="false">IF($A61="","",IF($K61&gt;=75,"High",IF($K61&gt;=50,"Medium",IF($K61=0,"Skip","Low"))))</f>
        <v/>
      </c>
      <c r="M61" s="16"/>
      <c r="N61" s="14"/>
      <c r="O61" s="17"/>
    </row>
    <row r="62" customFormat="false" ht="15" hidden="false" customHeight="false" outlineLevel="0" collapsed="false">
      <c r="A62" s="18"/>
      <c r="B62" s="18"/>
      <c r="C62" s="18"/>
      <c r="D62" s="18"/>
      <c r="E62" s="19"/>
      <c r="F62" s="20"/>
      <c r="G62" s="21" t="str">
        <f aca="true">IF($A62="","",IF($F62="","",TODAY()-$F62))</f>
        <v/>
      </c>
      <c r="H62" s="21" t="str">
        <f aca="false">IF($A62="","",IF($F62="","",IF($G62&lt;=30,"Yes","No")))</f>
        <v/>
      </c>
      <c r="I62" s="18"/>
      <c r="J62" s="18"/>
      <c r="K62" s="21" t="str">
        <f aca="false">IF($A62="","",IF($H62&lt;&gt;"Yes",0,IF(OR($C62="Clothing",$C62="Jewellery",$C62="Perfume",$C62="Beauty",$C62="Food"),25,0)+IF($I62="None",30,IF($I62="Link-in-bio",30,IF($I62="Own site",15,0)))+IF($E62="",10,IF($E62&lt;1000,10,IF($E62&lt;=50000,25,IF($E62&lt;=150000,15,5))))+IF($J62="Yes",20,0)))</f>
        <v/>
      </c>
      <c r="L62" s="21" t="str">
        <f aca="false">IF($A62="","",IF($K62&gt;=75,"High",IF($K62&gt;=50,"Medium",IF($K62=0,"Skip","Low"))))</f>
        <v/>
      </c>
      <c r="M62" s="20"/>
      <c r="N62" s="18"/>
      <c r="O62" s="22"/>
    </row>
    <row r="63" customFormat="false" ht="15" hidden="false" customHeight="false" outlineLevel="0" collapsed="false">
      <c r="A63" s="14"/>
      <c r="B63" s="14"/>
      <c r="C63" s="14"/>
      <c r="D63" s="14"/>
      <c r="E63" s="15"/>
      <c r="F63" s="16"/>
      <c r="G63" s="12" t="str">
        <f aca="true">IF($A63="","",IF($F63="","",TODAY()-$F63))</f>
        <v/>
      </c>
      <c r="H63" s="12" t="str">
        <f aca="false">IF($A63="","",IF($F63="","",IF($G63&lt;=30,"Yes","No")))</f>
        <v/>
      </c>
      <c r="I63" s="14"/>
      <c r="J63" s="14"/>
      <c r="K63" s="12" t="str">
        <f aca="false">IF($A63="","",IF($H63&lt;&gt;"Yes",0,IF(OR($C63="Clothing",$C63="Jewellery",$C63="Perfume",$C63="Beauty",$C63="Food"),25,0)+IF($I63="None",30,IF($I63="Link-in-bio",30,IF($I63="Own site",15,0)))+IF($E63="",10,IF($E63&lt;1000,10,IF($E63&lt;=50000,25,IF($E63&lt;=150000,15,5))))+IF($J63="Yes",20,0)))</f>
        <v/>
      </c>
      <c r="L63" s="12" t="str">
        <f aca="false">IF($A63="","",IF($K63&gt;=75,"High",IF($K63&gt;=50,"Medium",IF($K63=0,"Skip","Low"))))</f>
        <v/>
      </c>
      <c r="M63" s="16"/>
      <c r="N63" s="14"/>
      <c r="O63" s="17"/>
    </row>
    <row r="64" customFormat="false" ht="15" hidden="false" customHeight="false" outlineLevel="0" collapsed="false">
      <c r="A64" s="18"/>
      <c r="B64" s="18"/>
      <c r="C64" s="18"/>
      <c r="D64" s="18"/>
      <c r="E64" s="19"/>
      <c r="F64" s="20"/>
      <c r="G64" s="21" t="str">
        <f aca="true">IF($A64="","",IF($F64="","",TODAY()-$F64))</f>
        <v/>
      </c>
      <c r="H64" s="21" t="str">
        <f aca="false">IF($A64="","",IF($F64="","",IF($G64&lt;=30,"Yes","No")))</f>
        <v/>
      </c>
      <c r="I64" s="18"/>
      <c r="J64" s="18"/>
      <c r="K64" s="21" t="str">
        <f aca="false">IF($A64="","",IF($H64&lt;&gt;"Yes",0,IF(OR($C64="Clothing",$C64="Jewellery",$C64="Perfume",$C64="Beauty",$C64="Food"),25,0)+IF($I64="None",30,IF($I64="Link-in-bio",30,IF($I64="Own site",15,0)))+IF($E64="",10,IF($E64&lt;1000,10,IF($E64&lt;=50000,25,IF($E64&lt;=150000,15,5))))+IF($J64="Yes",20,0)))</f>
        <v/>
      </c>
      <c r="L64" s="21" t="str">
        <f aca="false">IF($A64="","",IF($K64&gt;=75,"High",IF($K64&gt;=50,"Medium",IF($K64=0,"Skip","Low"))))</f>
        <v/>
      </c>
      <c r="M64" s="20"/>
      <c r="N64" s="18"/>
      <c r="O64" s="22"/>
    </row>
    <row r="65" customFormat="false" ht="15" hidden="false" customHeight="false" outlineLevel="0" collapsed="false">
      <c r="A65" s="14"/>
      <c r="B65" s="14"/>
      <c r="C65" s="14"/>
      <c r="D65" s="14"/>
      <c r="E65" s="15"/>
      <c r="F65" s="16"/>
      <c r="G65" s="12" t="str">
        <f aca="true">IF($A65="","",IF($F65="","",TODAY()-$F65))</f>
        <v/>
      </c>
      <c r="H65" s="12" t="str">
        <f aca="false">IF($A65="","",IF($F65="","",IF($G65&lt;=30,"Yes","No")))</f>
        <v/>
      </c>
      <c r="I65" s="14"/>
      <c r="J65" s="14"/>
      <c r="K65" s="12" t="str">
        <f aca="false">IF($A65="","",IF($H65&lt;&gt;"Yes",0,IF(OR($C65="Clothing",$C65="Jewellery",$C65="Perfume",$C65="Beauty",$C65="Food"),25,0)+IF($I65="None",30,IF($I65="Link-in-bio",30,IF($I65="Own site",15,0)))+IF($E65="",10,IF($E65&lt;1000,10,IF($E65&lt;=50000,25,IF($E65&lt;=150000,15,5))))+IF($J65="Yes",20,0)))</f>
        <v/>
      </c>
      <c r="L65" s="12" t="str">
        <f aca="false">IF($A65="","",IF($K65&gt;=75,"High",IF($K65&gt;=50,"Medium",IF($K65=0,"Skip","Low"))))</f>
        <v/>
      </c>
      <c r="M65" s="16"/>
      <c r="N65" s="14"/>
      <c r="O65" s="17"/>
    </row>
    <row r="66" customFormat="false" ht="15" hidden="false" customHeight="false" outlineLevel="0" collapsed="false">
      <c r="A66" s="18"/>
      <c r="B66" s="18"/>
      <c r="C66" s="18"/>
      <c r="D66" s="18"/>
      <c r="E66" s="19"/>
      <c r="F66" s="20"/>
      <c r="G66" s="21" t="str">
        <f aca="true">IF($A66="","",IF($F66="","",TODAY()-$F66))</f>
        <v/>
      </c>
      <c r="H66" s="21" t="str">
        <f aca="false">IF($A66="","",IF($F66="","",IF($G66&lt;=30,"Yes","No")))</f>
        <v/>
      </c>
      <c r="I66" s="18"/>
      <c r="J66" s="18"/>
      <c r="K66" s="21" t="str">
        <f aca="false">IF($A66="","",IF($H66&lt;&gt;"Yes",0,IF(OR($C66="Clothing",$C66="Jewellery",$C66="Perfume",$C66="Beauty",$C66="Food"),25,0)+IF($I66="None",30,IF($I66="Link-in-bio",30,IF($I66="Own site",15,0)))+IF($E66="",10,IF($E66&lt;1000,10,IF($E66&lt;=50000,25,IF($E66&lt;=150000,15,5))))+IF($J66="Yes",20,0)))</f>
        <v/>
      </c>
      <c r="L66" s="21" t="str">
        <f aca="false">IF($A66="","",IF($K66&gt;=75,"High",IF($K66&gt;=50,"Medium",IF($K66=0,"Skip","Low"))))</f>
        <v/>
      </c>
      <c r="M66" s="20"/>
      <c r="N66" s="18"/>
      <c r="O66" s="22"/>
    </row>
    <row r="67" customFormat="false" ht="15" hidden="false" customHeight="false" outlineLevel="0" collapsed="false">
      <c r="A67" s="14"/>
      <c r="B67" s="14"/>
      <c r="C67" s="14"/>
      <c r="D67" s="14"/>
      <c r="E67" s="15"/>
      <c r="F67" s="16"/>
      <c r="G67" s="12" t="str">
        <f aca="true">IF($A67="","",IF($F67="","",TODAY()-$F67))</f>
        <v/>
      </c>
      <c r="H67" s="12" t="str">
        <f aca="false">IF($A67="","",IF($F67="","",IF($G67&lt;=30,"Yes","No")))</f>
        <v/>
      </c>
      <c r="I67" s="14"/>
      <c r="J67" s="14"/>
      <c r="K67" s="12" t="str">
        <f aca="false">IF($A67="","",IF($H67&lt;&gt;"Yes",0,IF(OR($C67="Clothing",$C67="Jewellery",$C67="Perfume",$C67="Beauty",$C67="Food"),25,0)+IF($I67="None",30,IF($I67="Link-in-bio",30,IF($I67="Own site",15,0)))+IF($E67="",10,IF($E67&lt;1000,10,IF($E67&lt;=50000,25,IF($E67&lt;=150000,15,5))))+IF($J67="Yes",20,0)))</f>
        <v/>
      </c>
      <c r="L67" s="12" t="str">
        <f aca="false">IF($A67="","",IF($K67&gt;=75,"High",IF($K67&gt;=50,"Medium",IF($K67=0,"Skip","Low"))))</f>
        <v/>
      </c>
      <c r="M67" s="16"/>
      <c r="N67" s="14"/>
      <c r="O67" s="17"/>
    </row>
    <row r="68" customFormat="false" ht="15" hidden="false" customHeight="false" outlineLevel="0" collapsed="false">
      <c r="A68" s="18"/>
      <c r="B68" s="18"/>
      <c r="C68" s="18"/>
      <c r="D68" s="18"/>
      <c r="E68" s="19"/>
      <c r="F68" s="20"/>
      <c r="G68" s="21" t="str">
        <f aca="true">IF($A68="","",IF($F68="","",TODAY()-$F68))</f>
        <v/>
      </c>
      <c r="H68" s="21" t="str">
        <f aca="false">IF($A68="","",IF($F68="","",IF($G68&lt;=30,"Yes","No")))</f>
        <v/>
      </c>
      <c r="I68" s="18"/>
      <c r="J68" s="18"/>
      <c r="K68" s="21" t="str">
        <f aca="false">IF($A68="","",IF($H68&lt;&gt;"Yes",0,IF(OR($C68="Clothing",$C68="Jewellery",$C68="Perfume",$C68="Beauty",$C68="Food"),25,0)+IF($I68="None",30,IF($I68="Link-in-bio",30,IF($I68="Own site",15,0)))+IF($E68="",10,IF($E68&lt;1000,10,IF($E68&lt;=50000,25,IF($E68&lt;=150000,15,5))))+IF($J68="Yes",20,0)))</f>
        <v/>
      </c>
      <c r="L68" s="21" t="str">
        <f aca="false">IF($A68="","",IF($K68&gt;=75,"High",IF($K68&gt;=50,"Medium",IF($K68=0,"Skip","Low"))))</f>
        <v/>
      </c>
      <c r="M68" s="20"/>
      <c r="N68" s="18"/>
      <c r="O68" s="22"/>
    </row>
    <row r="69" customFormat="false" ht="15" hidden="false" customHeight="false" outlineLevel="0" collapsed="false">
      <c r="A69" s="14"/>
      <c r="B69" s="14"/>
      <c r="C69" s="14"/>
      <c r="D69" s="14"/>
      <c r="E69" s="15"/>
      <c r="F69" s="16"/>
      <c r="G69" s="12" t="str">
        <f aca="true">IF($A69="","",IF($F69="","",TODAY()-$F69))</f>
        <v/>
      </c>
      <c r="H69" s="12" t="str">
        <f aca="false">IF($A69="","",IF($F69="","",IF($G69&lt;=30,"Yes","No")))</f>
        <v/>
      </c>
      <c r="I69" s="14"/>
      <c r="J69" s="14"/>
      <c r="K69" s="12" t="str">
        <f aca="false">IF($A69="","",IF($H69&lt;&gt;"Yes",0,IF(OR($C69="Clothing",$C69="Jewellery",$C69="Perfume",$C69="Beauty",$C69="Food"),25,0)+IF($I69="None",30,IF($I69="Link-in-bio",30,IF($I69="Own site",15,0)))+IF($E69="",10,IF($E69&lt;1000,10,IF($E69&lt;=50000,25,IF($E69&lt;=150000,15,5))))+IF($J69="Yes",20,0)))</f>
        <v/>
      </c>
      <c r="L69" s="12" t="str">
        <f aca="false">IF($A69="","",IF($K69&gt;=75,"High",IF($K69&gt;=50,"Medium",IF($K69=0,"Skip","Low"))))</f>
        <v/>
      </c>
      <c r="M69" s="16"/>
      <c r="N69" s="14"/>
      <c r="O69" s="17"/>
    </row>
    <row r="70" customFormat="false" ht="15" hidden="false" customHeight="false" outlineLevel="0" collapsed="false">
      <c r="A70" s="18"/>
      <c r="B70" s="18"/>
      <c r="C70" s="18"/>
      <c r="D70" s="18"/>
      <c r="E70" s="19"/>
      <c r="F70" s="20"/>
      <c r="G70" s="21" t="str">
        <f aca="true">IF($A70="","",IF($F70="","",TODAY()-$F70))</f>
        <v/>
      </c>
      <c r="H70" s="21" t="str">
        <f aca="false">IF($A70="","",IF($F70="","",IF($G70&lt;=30,"Yes","No")))</f>
        <v/>
      </c>
      <c r="I70" s="18"/>
      <c r="J70" s="18"/>
      <c r="K70" s="21" t="str">
        <f aca="false">IF($A70="","",IF($H70&lt;&gt;"Yes",0,IF(OR($C70="Clothing",$C70="Jewellery",$C70="Perfume",$C70="Beauty",$C70="Food"),25,0)+IF($I70="None",30,IF($I70="Link-in-bio",30,IF($I70="Own site",15,0)))+IF($E70="",10,IF($E70&lt;1000,10,IF($E70&lt;=50000,25,IF($E70&lt;=150000,15,5))))+IF($J70="Yes",20,0)))</f>
        <v/>
      </c>
      <c r="L70" s="21" t="str">
        <f aca="false">IF($A70="","",IF($K70&gt;=75,"High",IF($K70&gt;=50,"Medium",IF($K70=0,"Skip","Low"))))</f>
        <v/>
      </c>
      <c r="M70" s="20"/>
      <c r="N70" s="18"/>
      <c r="O70" s="22"/>
    </row>
    <row r="71" customFormat="false" ht="15" hidden="false" customHeight="false" outlineLevel="0" collapsed="false">
      <c r="A71" s="14"/>
      <c r="B71" s="14"/>
      <c r="C71" s="14"/>
      <c r="D71" s="14"/>
      <c r="E71" s="15"/>
      <c r="F71" s="16"/>
      <c r="G71" s="12" t="str">
        <f aca="true">IF($A71="","",IF($F71="","",TODAY()-$F71))</f>
        <v/>
      </c>
      <c r="H71" s="12" t="str">
        <f aca="false">IF($A71="","",IF($F71="","",IF($G71&lt;=30,"Yes","No")))</f>
        <v/>
      </c>
      <c r="I71" s="14"/>
      <c r="J71" s="14"/>
      <c r="K71" s="12" t="str">
        <f aca="false">IF($A71="","",IF($H71&lt;&gt;"Yes",0,IF(OR($C71="Clothing",$C71="Jewellery",$C71="Perfume",$C71="Beauty",$C71="Food"),25,0)+IF($I71="None",30,IF($I71="Link-in-bio",30,IF($I71="Own site",15,0)))+IF($E71="",10,IF($E71&lt;1000,10,IF($E71&lt;=50000,25,IF($E71&lt;=150000,15,5))))+IF($J71="Yes",20,0)))</f>
        <v/>
      </c>
      <c r="L71" s="12" t="str">
        <f aca="false">IF($A71="","",IF($K71&gt;=75,"High",IF($K71&gt;=50,"Medium",IF($K71=0,"Skip","Low"))))</f>
        <v/>
      </c>
      <c r="M71" s="16"/>
      <c r="N71" s="14"/>
      <c r="O71" s="17"/>
    </row>
    <row r="72" customFormat="false" ht="15" hidden="false" customHeight="false" outlineLevel="0" collapsed="false">
      <c r="A72" s="18"/>
      <c r="B72" s="18"/>
      <c r="C72" s="18"/>
      <c r="D72" s="18"/>
      <c r="E72" s="19"/>
      <c r="F72" s="20"/>
      <c r="G72" s="21" t="str">
        <f aca="true">IF($A72="","",IF($F72="","",TODAY()-$F72))</f>
        <v/>
      </c>
      <c r="H72" s="21" t="str">
        <f aca="false">IF($A72="","",IF($F72="","",IF($G72&lt;=30,"Yes","No")))</f>
        <v/>
      </c>
      <c r="I72" s="18"/>
      <c r="J72" s="18"/>
      <c r="K72" s="21" t="str">
        <f aca="false">IF($A72="","",IF($H72&lt;&gt;"Yes",0,IF(OR($C72="Clothing",$C72="Jewellery",$C72="Perfume",$C72="Beauty",$C72="Food"),25,0)+IF($I72="None",30,IF($I72="Link-in-bio",30,IF($I72="Own site",15,0)))+IF($E72="",10,IF($E72&lt;1000,10,IF($E72&lt;=50000,25,IF($E72&lt;=150000,15,5))))+IF($J72="Yes",20,0)))</f>
        <v/>
      </c>
      <c r="L72" s="21" t="str">
        <f aca="false">IF($A72="","",IF($K72&gt;=75,"High",IF($K72&gt;=50,"Medium",IF($K72=0,"Skip","Low"))))</f>
        <v/>
      </c>
      <c r="M72" s="20"/>
      <c r="N72" s="18"/>
      <c r="O72" s="22"/>
    </row>
    <row r="73" customFormat="false" ht="15" hidden="false" customHeight="false" outlineLevel="0" collapsed="false">
      <c r="A73" s="14"/>
      <c r="B73" s="14"/>
      <c r="C73" s="14"/>
      <c r="D73" s="14"/>
      <c r="E73" s="15"/>
      <c r="F73" s="16"/>
      <c r="G73" s="12" t="str">
        <f aca="true">IF($A73="","",IF($F73="","",TODAY()-$F73))</f>
        <v/>
      </c>
      <c r="H73" s="12" t="str">
        <f aca="false">IF($A73="","",IF($F73="","",IF($G73&lt;=30,"Yes","No")))</f>
        <v/>
      </c>
      <c r="I73" s="14"/>
      <c r="J73" s="14"/>
      <c r="K73" s="12" t="str">
        <f aca="false">IF($A73="","",IF($H73&lt;&gt;"Yes",0,IF(OR($C73="Clothing",$C73="Jewellery",$C73="Perfume",$C73="Beauty",$C73="Food"),25,0)+IF($I73="None",30,IF($I73="Link-in-bio",30,IF($I73="Own site",15,0)))+IF($E73="",10,IF($E73&lt;1000,10,IF($E73&lt;=50000,25,IF($E73&lt;=150000,15,5))))+IF($J73="Yes",20,0)))</f>
        <v/>
      </c>
      <c r="L73" s="12" t="str">
        <f aca="false">IF($A73="","",IF($K73&gt;=75,"High",IF($K73&gt;=50,"Medium",IF($K73=0,"Skip","Low"))))</f>
        <v/>
      </c>
      <c r="M73" s="16"/>
      <c r="N73" s="14"/>
      <c r="O73" s="17"/>
    </row>
    <row r="74" customFormat="false" ht="15" hidden="false" customHeight="false" outlineLevel="0" collapsed="false">
      <c r="A74" s="18"/>
      <c r="B74" s="18"/>
      <c r="C74" s="18"/>
      <c r="D74" s="18"/>
      <c r="E74" s="19"/>
      <c r="F74" s="20"/>
      <c r="G74" s="21" t="str">
        <f aca="true">IF($A74="","",IF($F74="","",TODAY()-$F74))</f>
        <v/>
      </c>
      <c r="H74" s="21" t="str">
        <f aca="false">IF($A74="","",IF($F74="","",IF($G74&lt;=30,"Yes","No")))</f>
        <v/>
      </c>
      <c r="I74" s="18"/>
      <c r="J74" s="18"/>
      <c r="K74" s="21" t="str">
        <f aca="false">IF($A74="","",IF($H74&lt;&gt;"Yes",0,IF(OR($C74="Clothing",$C74="Jewellery",$C74="Perfume",$C74="Beauty",$C74="Food"),25,0)+IF($I74="None",30,IF($I74="Link-in-bio",30,IF($I74="Own site",15,0)))+IF($E74="",10,IF($E74&lt;1000,10,IF($E74&lt;=50000,25,IF($E74&lt;=150000,15,5))))+IF($J74="Yes",20,0)))</f>
        <v/>
      </c>
      <c r="L74" s="21" t="str">
        <f aca="false">IF($A74="","",IF($K74&gt;=75,"High",IF($K74&gt;=50,"Medium",IF($K74=0,"Skip","Low"))))</f>
        <v/>
      </c>
      <c r="M74" s="20"/>
      <c r="N74" s="18"/>
      <c r="O74" s="22"/>
    </row>
    <row r="75" customFormat="false" ht="15" hidden="false" customHeight="false" outlineLevel="0" collapsed="false">
      <c r="A75" s="14"/>
      <c r="B75" s="14"/>
      <c r="C75" s="14"/>
      <c r="D75" s="14"/>
      <c r="E75" s="15"/>
      <c r="F75" s="16"/>
      <c r="G75" s="12" t="str">
        <f aca="true">IF($A75="","",IF($F75="","",TODAY()-$F75))</f>
        <v/>
      </c>
      <c r="H75" s="12" t="str">
        <f aca="false">IF($A75="","",IF($F75="","",IF($G75&lt;=30,"Yes","No")))</f>
        <v/>
      </c>
      <c r="I75" s="14"/>
      <c r="J75" s="14"/>
      <c r="K75" s="12" t="str">
        <f aca="false">IF($A75="","",IF($H75&lt;&gt;"Yes",0,IF(OR($C75="Clothing",$C75="Jewellery",$C75="Perfume",$C75="Beauty",$C75="Food"),25,0)+IF($I75="None",30,IF($I75="Link-in-bio",30,IF($I75="Own site",15,0)))+IF($E75="",10,IF($E75&lt;1000,10,IF($E75&lt;=50000,25,IF($E75&lt;=150000,15,5))))+IF($J75="Yes",20,0)))</f>
        <v/>
      </c>
      <c r="L75" s="12" t="str">
        <f aca="false">IF($A75="","",IF($K75&gt;=75,"High",IF($K75&gt;=50,"Medium",IF($K75=0,"Skip","Low"))))</f>
        <v/>
      </c>
      <c r="M75" s="16"/>
      <c r="N75" s="14"/>
      <c r="O75" s="17"/>
    </row>
    <row r="76" customFormat="false" ht="15" hidden="false" customHeight="false" outlineLevel="0" collapsed="false">
      <c r="A76" s="18"/>
      <c r="B76" s="18"/>
      <c r="C76" s="18"/>
      <c r="D76" s="18"/>
      <c r="E76" s="19"/>
      <c r="F76" s="20"/>
      <c r="G76" s="21" t="str">
        <f aca="true">IF($A76="","",IF($F76="","",TODAY()-$F76))</f>
        <v/>
      </c>
      <c r="H76" s="21" t="str">
        <f aca="false">IF($A76="","",IF($F76="","",IF($G76&lt;=30,"Yes","No")))</f>
        <v/>
      </c>
      <c r="I76" s="18"/>
      <c r="J76" s="18"/>
      <c r="K76" s="21" t="str">
        <f aca="false">IF($A76="","",IF($H76&lt;&gt;"Yes",0,IF(OR($C76="Clothing",$C76="Jewellery",$C76="Perfume",$C76="Beauty",$C76="Food"),25,0)+IF($I76="None",30,IF($I76="Link-in-bio",30,IF($I76="Own site",15,0)))+IF($E76="",10,IF($E76&lt;1000,10,IF($E76&lt;=50000,25,IF($E76&lt;=150000,15,5))))+IF($J76="Yes",20,0)))</f>
        <v/>
      </c>
      <c r="L76" s="21" t="str">
        <f aca="false">IF($A76="","",IF($K76&gt;=75,"High",IF($K76&gt;=50,"Medium",IF($K76=0,"Skip","Low"))))</f>
        <v/>
      </c>
      <c r="M76" s="20"/>
      <c r="N76" s="18"/>
      <c r="O76" s="22"/>
    </row>
    <row r="77" customFormat="false" ht="15" hidden="false" customHeight="false" outlineLevel="0" collapsed="false">
      <c r="A77" s="14"/>
      <c r="B77" s="14"/>
      <c r="C77" s="14"/>
      <c r="D77" s="14"/>
      <c r="E77" s="15"/>
      <c r="F77" s="16"/>
      <c r="G77" s="12" t="str">
        <f aca="true">IF($A77="","",IF($F77="","",TODAY()-$F77))</f>
        <v/>
      </c>
      <c r="H77" s="12" t="str">
        <f aca="false">IF($A77="","",IF($F77="","",IF($G77&lt;=30,"Yes","No")))</f>
        <v/>
      </c>
      <c r="I77" s="14"/>
      <c r="J77" s="14"/>
      <c r="K77" s="12" t="str">
        <f aca="false">IF($A77="","",IF($H77&lt;&gt;"Yes",0,IF(OR($C77="Clothing",$C77="Jewellery",$C77="Perfume",$C77="Beauty",$C77="Food"),25,0)+IF($I77="None",30,IF($I77="Link-in-bio",30,IF($I77="Own site",15,0)))+IF($E77="",10,IF($E77&lt;1000,10,IF($E77&lt;=50000,25,IF($E77&lt;=150000,15,5))))+IF($J77="Yes",20,0)))</f>
        <v/>
      </c>
      <c r="L77" s="12" t="str">
        <f aca="false">IF($A77="","",IF($K77&gt;=75,"High",IF($K77&gt;=50,"Medium",IF($K77=0,"Skip","Low"))))</f>
        <v/>
      </c>
      <c r="M77" s="16"/>
      <c r="N77" s="14"/>
      <c r="O77" s="17"/>
    </row>
    <row r="78" customFormat="false" ht="15" hidden="false" customHeight="false" outlineLevel="0" collapsed="false">
      <c r="A78" s="18"/>
      <c r="B78" s="18"/>
      <c r="C78" s="18"/>
      <c r="D78" s="18"/>
      <c r="E78" s="19"/>
      <c r="F78" s="20"/>
      <c r="G78" s="21" t="str">
        <f aca="true">IF($A78="","",IF($F78="","",TODAY()-$F78))</f>
        <v/>
      </c>
      <c r="H78" s="21" t="str">
        <f aca="false">IF($A78="","",IF($F78="","",IF($G78&lt;=30,"Yes","No")))</f>
        <v/>
      </c>
      <c r="I78" s="18"/>
      <c r="J78" s="18"/>
      <c r="K78" s="21" t="str">
        <f aca="false">IF($A78="","",IF($H78&lt;&gt;"Yes",0,IF(OR($C78="Clothing",$C78="Jewellery",$C78="Perfume",$C78="Beauty",$C78="Food"),25,0)+IF($I78="None",30,IF($I78="Link-in-bio",30,IF($I78="Own site",15,0)))+IF($E78="",10,IF($E78&lt;1000,10,IF($E78&lt;=50000,25,IF($E78&lt;=150000,15,5))))+IF($J78="Yes",20,0)))</f>
        <v/>
      </c>
      <c r="L78" s="21" t="str">
        <f aca="false">IF($A78="","",IF($K78&gt;=75,"High",IF($K78&gt;=50,"Medium",IF($K78=0,"Skip","Low"))))</f>
        <v/>
      </c>
      <c r="M78" s="20"/>
      <c r="N78" s="18"/>
      <c r="O78" s="22"/>
    </row>
    <row r="79" customFormat="false" ht="15" hidden="false" customHeight="false" outlineLevel="0" collapsed="false">
      <c r="A79" s="14"/>
      <c r="B79" s="14"/>
      <c r="C79" s="14"/>
      <c r="D79" s="14"/>
      <c r="E79" s="15"/>
      <c r="F79" s="16"/>
      <c r="G79" s="12" t="str">
        <f aca="true">IF($A79="","",IF($F79="","",TODAY()-$F79))</f>
        <v/>
      </c>
      <c r="H79" s="12" t="str">
        <f aca="false">IF($A79="","",IF($F79="","",IF($G79&lt;=30,"Yes","No")))</f>
        <v/>
      </c>
      <c r="I79" s="14"/>
      <c r="J79" s="14"/>
      <c r="K79" s="12" t="str">
        <f aca="false">IF($A79="","",IF($H79&lt;&gt;"Yes",0,IF(OR($C79="Clothing",$C79="Jewellery",$C79="Perfume",$C79="Beauty",$C79="Food"),25,0)+IF($I79="None",30,IF($I79="Link-in-bio",30,IF($I79="Own site",15,0)))+IF($E79="",10,IF($E79&lt;1000,10,IF($E79&lt;=50000,25,IF($E79&lt;=150000,15,5))))+IF($J79="Yes",20,0)))</f>
        <v/>
      </c>
      <c r="L79" s="12" t="str">
        <f aca="false">IF($A79="","",IF($K79&gt;=75,"High",IF($K79&gt;=50,"Medium",IF($K79=0,"Skip","Low"))))</f>
        <v/>
      </c>
      <c r="M79" s="16"/>
      <c r="N79" s="14"/>
      <c r="O79" s="17"/>
    </row>
    <row r="80" customFormat="false" ht="15" hidden="false" customHeight="false" outlineLevel="0" collapsed="false">
      <c r="A80" s="18"/>
      <c r="B80" s="18"/>
      <c r="C80" s="18"/>
      <c r="D80" s="18"/>
      <c r="E80" s="19"/>
      <c r="F80" s="20"/>
      <c r="G80" s="21" t="str">
        <f aca="true">IF($A80="","",IF($F80="","",TODAY()-$F80))</f>
        <v/>
      </c>
      <c r="H80" s="21" t="str">
        <f aca="false">IF($A80="","",IF($F80="","",IF($G80&lt;=30,"Yes","No")))</f>
        <v/>
      </c>
      <c r="I80" s="18"/>
      <c r="J80" s="18"/>
      <c r="K80" s="21" t="str">
        <f aca="false">IF($A80="","",IF($H80&lt;&gt;"Yes",0,IF(OR($C80="Clothing",$C80="Jewellery",$C80="Perfume",$C80="Beauty",$C80="Food"),25,0)+IF($I80="None",30,IF($I80="Link-in-bio",30,IF($I80="Own site",15,0)))+IF($E80="",10,IF($E80&lt;1000,10,IF($E80&lt;=50000,25,IF($E80&lt;=150000,15,5))))+IF($J80="Yes",20,0)))</f>
        <v/>
      </c>
      <c r="L80" s="21" t="str">
        <f aca="false">IF($A80="","",IF($K80&gt;=75,"High",IF($K80&gt;=50,"Medium",IF($K80=0,"Skip","Low"))))</f>
        <v/>
      </c>
      <c r="M80" s="20"/>
      <c r="N80" s="18"/>
      <c r="O80" s="22"/>
    </row>
    <row r="81" customFormat="false" ht="15" hidden="false" customHeight="false" outlineLevel="0" collapsed="false">
      <c r="A81" s="14"/>
      <c r="B81" s="14"/>
      <c r="C81" s="14"/>
      <c r="D81" s="14"/>
      <c r="E81" s="15"/>
      <c r="F81" s="16"/>
      <c r="G81" s="12" t="str">
        <f aca="true">IF($A81="","",IF($F81="","",TODAY()-$F81))</f>
        <v/>
      </c>
      <c r="H81" s="12" t="str">
        <f aca="false">IF($A81="","",IF($F81="","",IF($G81&lt;=30,"Yes","No")))</f>
        <v/>
      </c>
      <c r="I81" s="14"/>
      <c r="J81" s="14"/>
      <c r="K81" s="12" t="str">
        <f aca="false">IF($A81="","",IF($H81&lt;&gt;"Yes",0,IF(OR($C81="Clothing",$C81="Jewellery",$C81="Perfume",$C81="Beauty",$C81="Food"),25,0)+IF($I81="None",30,IF($I81="Link-in-bio",30,IF($I81="Own site",15,0)))+IF($E81="",10,IF($E81&lt;1000,10,IF($E81&lt;=50000,25,IF($E81&lt;=150000,15,5))))+IF($J81="Yes",20,0)))</f>
        <v/>
      </c>
      <c r="L81" s="12" t="str">
        <f aca="false">IF($A81="","",IF($K81&gt;=75,"High",IF($K81&gt;=50,"Medium",IF($K81=0,"Skip","Low"))))</f>
        <v/>
      </c>
      <c r="M81" s="16"/>
      <c r="N81" s="14"/>
      <c r="O81" s="17"/>
    </row>
    <row r="82" customFormat="false" ht="15" hidden="false" customHeight="false" outlineLevel="0" collapsed="false">
      <c r="A82" s="18"/>
      <c r="B82" s="18"/>
      <c r="C82" s="18"/>
      <c r="D82" s="18"/>
      <c r="E82" s="19"/>
      <c r="F82" s="20"/>
      <c r="G82" s="21" t="str">
        <f aca="true">IF($A82="","",IF($F82="","",TODAY()-$F82))</f>
        <v/>
      </c>
      <c r="H82" s="21" t="str">
        <f aca="false">IF($A82="","",IF($F82="","",IF($G82&lt;=30,"Yes","No")))</f>
        <v/>
      </c>
      <c r="I82" s="18"/>
      <c r="J82" s="18"/>
      <c r="K82" s="21" t="str">
        <f aca="false">IF($A82="","",IF($H82&lt;&gt;"Yes",0,IF(OR($C82="Clothing",$C82="Jewellery",$C82="Perfume",$C82="Beauty",$C82="Food"),25,0)+IF($I82="None",30,IF($I82="Link-in-bio",30,IF($I82="Own site",15,0)))+IF($E82="",10,IF($E82&lt;1000,10,IF($E82&lt;=50000,25,IF($E82&lt;=150000,15,5))))+IF($J82="Yes",20,0)))</f>
        <v/>
      </c>
      <c r="L82" s="21" t="str">
        <f aca="false">IF($A82="","",IF($K82&gt;=75,"High",IF($K82&gt;=50,"Medium",IF($K82=0,"Skip","Low"))))</f>
        <v/>
      </c>
      <c r="M82" s="20"/>
      <c r="N82" s="18"/>
      <c r="O82" s="22"/>
    </row>
    <row r="83" customFormat="false" ht="15" hidden="false" customHeight="false" outlineLevel="0" collapsed="false">
      <c r="A83" s="14"/>
      <c r="B83" s="14"/>
      <c r="C83" s="14"/>
      <c r="D83" s="14"/>
      <c r="E83" s="15"/>
      <c r="F83" s="16"/>
      <c r="G83" s="12" t="str">
        <f aca="true">IF($A83="","",IF($F83="","",TODAY()-$F83))</f>
        <v/>
      </c>
      <c r="H83" s="12" t="str">
        <f aca="false">IF($A83="","",IF($F83="","",IF($G83&lt;=30,"Yes","No")))</f>
        <v/>
      </c>
      <c r="I83" s="14"/>
      <c r="J83" s="14"/>
      <c r="K83" s="12" t="str">
        <f aca="false">IF($A83="","",IF($H83&lt;&gt;"Yes",0,IF(OR($C83="Clothing",$C83="Jewellery",$C83="Perfume",$C83="Beauty",$C83="Food"),25,0)+IF($I83="None",30,IF($I83="Link-in-bio",30,IF($I83="Own site",15,0)))+IF($E83="",10,IF($E83&lt;1000,10,IF($E83&lt;=50000,25,IF($E83&lt;=150000,15,5))))+IF($J83="Yes",20,0)))</f>
        <v/>
      </c>
      <c r="L83" s="12" t="str">
        <f aca="false">IF($A83="","",IF($K83&gt;=75,"High",IF($K83&gt;=50,"Medium",IF($K83=0,"Skip","Low"))))</f>
        <v/>
      </c>
      <c r="M83" s="16"/>
      <c r="N83" s="14"/>
      <c r="O83" s="17"/>
    </row>
    <row r="84" customFormat="false" ht="15" hidden="false" customHeight="false" outlineLevel="0" collapsed="false">
      <c r="A84" s="18"/>
      <c r="B84" s="18"/>
      <c r="C84" s="18"/>
      <c r="D84" s="18"/>
      <c r="E84" s="19"/>
      <c r="F84" s="20"/>
      <c r="G84" s="21" t="str">
        <f aca="true">IF($A84="","",IF($F84="","",TODAY()-$F84))</f>
        <v/>
      </c>
      <c r="H84" s="21" t="str">
        <f aca="false">IF($A84="","",IF($F84="","",IF($G84&lt;=30,"Yes","No")))</f>
        <v/>
      </c>
      <c r="I84" s="18"/>
      <c r="J84" s="18"/>
      <c r="K84" s="21" t="str">
        <f aca="false">IF($A84="","",IF($H84&lt;&gt;"Yes",0,IF(OR($C84="Clothing",$C84="Jewellery",$C84="Perfume",$C84="Beauty",$C84="Food"),25,0)+IF($I84="None",30,IF($I84="Link-in-bio",30,IF($I84="Own site",15,0)))+IF($E84="",10,IF($E84&lt;1000,10,IF($E84&lt;=50000,25,IF($E84&lt;=150000,15,5))))+IF($J84="Yes",20,0)))</f>
        <v/>
      </c>
      <c r="L84" s="21" t="str">
        <f aca="false">IF($A84="","",IF($K84&gt;=75,"High",IF($K84&gt;=50,"Medium",IF($K84=0,"Skip","Low"))))</f>
        <v/>
      </c>
      <c r="M84" s="20"/>
      <c r="N84" s="18"/>
      <c r="O84" s="22"/>
    </row>
    <row r="85" customFormat="false" ht="15" hidden="false" customHeight="false" outlineLevel="0" collapsed="false">
      <c r="A85" s="14"/>
      <c r="B85" s="14"/>
      <c r="C85" s="14"/>
      <c r="D85" s="14"/>
      <c r="E85" s="15"/>
      <c r="F85" s="16"/>
      <c r="G85" s="12" t="str">
        <f aca="true">IF($A85="","",IF($F85="","",TODAY()-$F85))</f>
        <v/>
      </c>
      <c r="H85" s="12" t="str">
        <f aca="false">IF($A85="","",IF($F85="","",IF($G85&lt;=30,"Yes","No")))</f>
        <v/>
      </c>
      <c r="I85" s="14"/>
      <c r="J85" s="14"/>
      <c r="K85" s="12" t="str">
        <f aca="false">IF($A85="","",IF($H85&lt;&gt;"Yes",0,IF(OR($C85="Clothing",$C85="Jewellery",$C85="Perfume",$C85="Beauty",$C85="Food"),25,0)+IF($I85="None",30,IF($I85="Link-in-bio",30,IF($I85="Own site",15,0)))+IF($E85="",10,IF($E85&lt;1000,10,IF($E85&lt;=50000,25,IF($E85&lt;=150000,15,5))))+IF($J85="Yes",20,0)))</f>
        <v/>
      </c>
      <c r="L85" s="12" t="str">
        <f aca="false">IF($A85="","",IF($K85&gt;=75,"High",IF($K85&gt;=50,"Medium",IF($K85=0,"Skip","Low"))))</f>
        <v/>
      </c>
      <c r="M85" s="16"/>
      <c r="N85" s="14"/>
      <c r="O85" s="17"/>
    </row>
    <row r="86" customFormat="false" ht="15" hidden="false" customHeight="false" outlineLevel="0" collapsed="false">
      <c r="A86" s="18"/>
      <c r="B86" s="18"/>
      <c r="C86" s="18"/>
      <c r="D86" s="18"/>
      <c r="E86" s="19"/>
      <c r="F86" s="20"/>
      <c r="G86" s="21" t="str">
        <f aca="true">IF($A86="","",IF($F86="","",TODAY()-$F86))</f>
        <v/>
      </c>
      <c r="H86" s="21" t="str">
        <f aca="false">IF($A86="","",IF($F86="","",IF($G86&lt;=30,"Yes","No")))</f>
        <v/>
      </c>
      <c r="I86" s="18"/>
      <c r="J86" s="18"/>
      <c r="K86" s="21" t="str">
        <f aca="false">IF($A86="","",IF($H86&lt;&gt;"Yes",0,IF(OR($C86="Clothing",$C86="Jewellery",$C86="Perfume",$C86="Beauty",$C86="Food"),25,0)+IF($I86="None",30,IF($I86="Link-in-bio",30,IF($I86="Own site",15,0)))+IF($E86="",10,IF($E86&lt;1000,10,IF($E86&lt;=50000,25,IF($E86&lt;=150000,15,5))))+IF($J86="Yes",20,0)))</f>
        <v/>
      </c>
      <c r="L86" s="21" t="str">
        <f aca="false">IF($A86="","",IF($K86&gt;=75,"High",IF($K86&gt;=50,"Medium",IF($K86=0,"Skip","Low"))))</f>
        <v/>
      </c>
      <c r="M86" s="20"/>
      <c r="N86" s="18"/>
      <c r="O86" s="22"/>
    </row>
    <row r="87" customFormat="false" ht="15" hidden="false" customHeight="false" outlineLevel="0" collapsed="false">
      <c r="A87" s="14"/>
      <c r="B87" s="14"/>
      <c r="C87" s="14"/>
      <c r="D87" s="14"/>
      <c r="E87" s="15"/>
      <c r="F87" s="16"/>
      <c r="G87" s="12" t="str">
        <f aca="true">IF($A87="","",IF($F87="","",TODAY()-$F87))</f>
        <v/>
      </c>
      <c r="H87" s="12" t="str">
        <f aca="false">IF($A87="","",IF($F87="","",IF($G87&lt;=30,"Yes","No")))</f>
        <v/>
      </c>
      <c r="I87" s="14"/>
      <c r="J87" s="14"/>
      <c r="K87" s="12" t="str">
        <f aca="false">IF($A87="","",IF($H87&lt;&gt;"Yes",0,IF(OR($C87="Clothing",$C87="Jewellery",$C87="Perfume",$C87="Beauty",$C87="Food"),25,0)+IF($I87="None",30,IF($I87="Link-in-bio",30,IF($I87="Own site",15,0)))+IF($E87="",10,IF($E87&lt;1000,10,IF($E87&lt;=50000,25,IF($E87&lt;=150000,15,5))))+IF($J87="Yes",20,0)))</f>
        <v/>
      </c>
      <c r="L87" s="12" t="str">
        <f aca="false">IF($A87="","",IF($K87&gt;=75,"High",IF($K87&gt;=50,"Medium",IF($K87=0,"Skip","Low"))))</f>
        <v/>
      </c>
      <c r="M87" s="16"/>
      <c r="N87" s="14"/>
      <c r="O87" s="17"/>
    </row>
    <row r="88" customFormat="false" ht="15" hidden="false" customHeight="false" outlineLevel="0" collapsed="false">
      <c r="A88" s="18"/>
      <c r="B88" s="18"/>
      <c r="C88" s="18"/>
      <c r="D88" s="18"/>
      <c r="E88" s="19"/>
      <c r="F88" s="20"/>
      <c r="G88" s="21" t="str">
        <f aca="true">IF($A88="","",IF($F88="","",TODAY()-$F88))</f>
        <v/>
      </c>
      <c r="H88" s="21" t="str">
        <f aca="false">IF($A88="","",IF($F88="","",IF($G88&lt;=30,"Yes","No")))</f>
        <v/>
      </c>
      <c r="I88" s="18"/>
      <c r="J88" s="18"/>
      <c r="K88" s="21" t="str">
        <f aca="false">IF($A88="","",IF($H88&lt;&gt;"Yes",0,IF(OR($C88="Clothing",$C88="Jewellery",$C88="Perfume",$C88="Beauty",$C88="Food"),25,0)+IF($I88="None",30,IF($I88="Link-in-bio",30,IF($I88="Own site",15,0)))+IF($E88="",10,IF($E88&lt;1000,10,IF($E88&lt;=50000,25,IF($E88&lt;=150000,15,5))))+IF($J88="Yes",20,0)))</f>
        <v/>
      </c>
      <c r="L88" s="21" t="str">
        <f aca="false">IF($A88="","",IF($K88&gt;=75,"High",IF($K88&gt;=50,"Medium",IF($K88=0,"Skip","Low"))))</f>
        <v/>
      </c>
      <c r="M88" s="20"/>
      <c r="N88" s="18"/>
      <c r="O88" s="22"/>
    </row>
    <row r="89" customFormat="false" ht="15" hidden="false" customHeight="false" outlineLevel="0" collapsed="false">
      <c r="A89" s="14"/>
      <c r="B89" s="14"/>
      <c r="C89" s="14"/>
      <c r="D89" s="14"/>
      <c r="E89" s="15"/>
      <c r="F89" s="16"/>
      <c r="G89" s="12" t="str">
        <f aca="true">IF($A89="","",IF($F89="","",TODAY()-$F89))</f>
        <v/>
      </c>
      <c r="H89" s="12" t="str">
        <f aca="false">IF($A89="","",IF($F89="","",IF($G89&lt;=30,"Yes","No")))</f>
        <v/>
      </c>
      <c r="I89" s="14"/>
      <c r="J89" s="14"/>
      <c r="K89" s="12" t="str">
        <f aca="false">IF($A89="","",IF($H89&lt;&gt;"Yes",0,IF(OR($C89="Clothing",$C89="Jewellery",$C89="Perfume",$C89="Beauty",$C89="Food"),25,0)+IF($I89="None",30,IF($I89="Link-in-bio",30,IF($I89="Own site",15,0)))+IF($E89="",10,IF($E89&lt;1000,10,IF($E89&lt;=50000,25,IF($E89&lt;=150000,15,5))))+IF($J89="Yes",20,0)))</f>
        <v/>
      </c>
      <c r="L89" s="12" t="str">
        <f aca="false">IF($A89="","",IF($K89&gt;=75,"High",IF($K89&gt;=50,"Medium",IF($K89=0,"Skip","Low"))))</f>
        <v/>
      </c>
      <c r="M89" s="16"/>
      <c r="N89" s="14"/>
      <c r="O89" s="17"/>
    </row>
    <row r="90" customFormat="false" ht="15" hidden="false" customHeight="false" outlineLevel="0" collapsed="false">
      <c r="A90" s="18"/>
      <c r="B90" s="18"/>
      <c r="C90" s="18"/>
      <c r="D90" s="18"/>
      <c r="E90" s="19"/>
      <c r="F90" s="20"/>
      <c r="G90" s="21" t="str">
        <f aca="true">IF($A90="","",IF($F90="","",TODAY()-$F90))</f>
        <v/>
      </c>
      <c r="H90" s="21" t="str">
        <f aca="false">IF($A90="","",IF($F90="","",IF($G90&lt;=30,"Yes","No")))</f>
        <v/>
      </c>
      <c r="I90" s="18"/>
      <c r="J90" s="18"/>
      <c r="K90" s="21" t="str">
        <f aca="false">IF($A90="","",IF($H90&lt;&gt;"Yes",0,IF(OR($C90="Clothing",$C90="Jewellery",$C90="Perfume",$C90="Beauty",$C90="Food"),25,0)+IF($I90="None",30,IF($I90="Link-in-bio",30,IF($I90="Own site",15,0)))+IF($E90="",10,IF($E90&lt;1000,10,IF($E90&lt;=50000,25,IF($E90&lt;=150000,15,5))))+IF($J90="Yes",20,0)))</f>
        <v/>
      </c>
      <c r="L90" s="21" t="str">
        <f aca="false">IF($A90="","",IF($K90&gt;=75,"High",IF($K90&gt;=50,"Medium",IF($K90=0,"Skip","Low"))))</f>
        <v/>
      </c>
      <c r="M90" s="20"/>
      <c r="N90" s="18"/>
      <c r="O90" s="22"/>
    </row>
    <row r="91" customFormat="false" ht="15" hidden="false" customHeight="false" outlineLevel="0" collapsed="false">
      <c r="A91" s="14"/>
      <c r="B91" s="14"/>
      <c r="C91" s="14"/>
      <c r="D91" s="14"/>
      <c r="E91" s="15"/>
      <c r="F91" s="16"/>
      <c r="G91" s="12" t="str">
        <f aca="true">IF($A91="","",IF($F91="","",TODAY()-$F91))</f>
        <v/>
      </c>
      <c r="H91" s="12" t="str">
        <f aca="false">IF($A91="","",IF($F91="","",IF($G91&lt;=30,"Yes","No")))</f>
        <v/>
      </c>
      <c r="I91" s="14"/>
      <c r="J91" s="14"/>
      <c r="K91" s="12" t="str">
        <f aca="false">IF($A91="","",IF($H91&lt;&gt;"Yes",0,IF(OR($C91="Clothing",$C91="Jewellery",$C91="Perfume",$C91="Beauty",$C91="Food"),25,0)+IF($I91="None",30,IF($I91="Link-in-bio",30,IF($I91="Own site",15,0)))+IF($E91="",10,IF($E91&lt;1000,10,IF($E91&lt;=50000,25,IF($E91&lt;=150000,15,5))))+IF($J91="Yes",20,0)))</f>
        <v/>
      </c>
      <c r="L91" s="12" t="str">
        <f aca="false">IF($A91="","",IF($K91&gt;=75,"High",IF($K91&gt;=50,"Medium",IF($K91=0,"Skip","Low"))))</f>
        <v/>
      </c>
      <c r="M91" s="16"/>
      <c r="N91" s="14"/>
      <c r="O91" s="17"/>
    </row>
    <row r="92" customFormat="false" ht="15" hidden="false" customHeight="false" outlineLevel="0" collapsed="false">
      <c r="A92" s="18"/>
      <c r="B92" s="18"/>
      <c r="C92" s="18"/>
      <c r="D92" s="18"/>
      <c r="E92" s="19"/>
      <c r="F92" s="20"/>
      <c r="G92" s="21" t="str">
        <f aca="true">IF($A92="","",IF($F92="","",TODAY()-$F92))</f>
        <v/>
      </c>
      <c r="H92" s="21" t="str">
        <f aca="false">IF($A92="","",IF($F92="","",IF($G92&lt;=30,"Yes","No")))</f>
        <v/>
      </c>
      <c r="I92" s="18"/>
      <c r="J92" s="18"/>
      <c r="K92" s="21" t="str">
        <f aca="false">IF($A92="","",IF($H92&lt;&gt;"Yes",0,IF(OR($C92="Clothing",$C92="Jewellery",$C92="Perfume",$C92="Beauty",$C92="Food"),25,0)+IF($I92="None",30,IF($I92="Link-in-bio",30,IF($I92="Own site",15,0)))+IF($E92="",10,IF($E92&lt;1000,10,IF($E92&lt;=50000,25,IF($E92&lt;=150000,15,5))))+IF($J92="Yes",20,0)))</f>
        <v/>
      </c>
      <c r="L92" s="21" t="str">
        <f aca="false">IF($A92="","",IF($K92&gt;=75,"High",IF($K92&gt;=50,"Medium",IF($K92=0,"Skip","Low"))))</f>
        <v/>
      </c>
      <c r="M92" s="20"/>
      <c r="N92" s="18"/>
      <c r="O92" s="22"/>
    </row>
    <row r="93" customFormat="false" ht="15" hidden="false" customHeight="false" outlineLevel="0" collapsed="false">
      <c r="A93" s="14"/>
      <c r="B93" s="14"/>
      <c r="C93" s="14"/>
      <c r="D93" s="14"/>
      <c r="E93" s="15"/>
      <c r="F93" s="16"/>
      <c r="G93" s="12" t="str">
        <f aca="true">IF($A93="","",IF($F93="","",TODAY()-$F93))</f>
        <v/>
      </c>
      <c r="H93" s="12" t="str">
        <f aca="false">IF($A93="","",IF($F93="","",IF($G93&lt;=30,"Yes","No")))</f>
        <v/>
      </c>
      <c r="I93" s="14"/>
      <c r="J93" s="14"/>
      <c r="K93" s="12" t="str">
        <f aca="false">IF($A93="","",IF($H93&lt;&gt;"Yes",0,IF(OR($C93="Clothing",$C93="Jewellery",$C93="Perfume",$C93="Beauty",$C93="Food"),25,0)+IF($I93="None",30,IF($I93="Link-in-bio",30,IF($I93="Own site",15,0)))+IF($E93="",10,IF($E93&lt;1000,10,IF($E93&lt;=50000,25,IF($E93&lt;=150000,15,5))))+IF($J93="Yes",20,0)))</f>
        <v/>
      </c>
      <c r="L93" s="12" t="str">
        <f aca="false">IF($A93="","",IF($K93&gt;=75,"High",IF($K93&gt;=50,"Medium",IF($K93=0,"Skip","Low"))))</f>
        <v/>
      </c>
      <c r="M93" s="16"/>
      <c r="N93" s="14"/>
      <c r="O93" s="17"/>
    </row>
    <row r="94" customFormat="false" ht="15" hidden="false" customHeight="false" outlineLevel="0" collapsed="false">
      <c r="A94" s="18"/>
      <c r="B94" s="18"/>
      <c r="C94" s="18"/>
      <c r="D94" s="18"/>
      <c r="E94" s="19"/>
      <c r="F94" s="20"/>
      <c r="G94" s="21" t="str">
        <f aca="true">IF($A94="","",IF($F94="","",TODAY()-$F94))</f>
        <v/>
      </c>
      <c r="H94" s="21" t="str">
        <f aca="false">IF($A94="","",IF($F94="","",IF($G94&lt;=30,"Yes","No")))</f>
        <v/>
      </c>
      <c r="I94" s="18"/>
      <c r="J94" s="18"/>
      <c r="K94" s="21" t="str">
        <f aca="false">IF($A94="","",IF($H94&lt;&gt;"Yes",0,IF(OR($C94="Clothing",$C94="Jewellery",$C94="Perfume",$C94="Beauty",$C94="Food"),25,0)+IF($I94="None",30,IF($I94="Link-in-bio",30,IF($I94="Own site",15,0)))+IF($E94="",10,IF($E94&lt;1000,10,IF($E94&lt;=50000,25,IF($E94&lt;=150000,15,5))))+IF($J94="Yes",20,0)))</f>
        <v/>
      </c>
      <c r="L94" s="21" t="str">
        <f aca="false">IF($A94="","",IF($K94&gt;=75,"High",IF($K94&gt;=50,"Medium",IF($K94=0,"Skip","Low"))))</f>
        <v/>
      </c>
      <c r="M94" s="20"/>
      <c r="N94" s="18"/>
      <c r="O94" s="22"/>
    </row>
    <row r="95" customFormat="false" ht="15" hidden="false" customHeight="false" outlineLevel="0" collapsed="false">
      <c r="A95" s="14"/>
      <c r="B95" s="14"/>
      <c r="C95" s="14"/>
      <c r="D95" s="14"/>
      <c r="E95" s="15"/>
      <c r="F95" s="16"/>
      <c r="G95" s="12" t="str">
        <f aca="true">IF($A95="","",IF($F95="","",TODAY()-$F95))</f>
        <v/>
      </c>
      <c r="H95" s="12" t="str">
        <f aca="false">IF($A95="","",IF($F95="","",IF($G95&lt;=30,"Yes","No")))</f>
        <v/>
      </c>
      <c r="I95" s="14"/>
      <c r="J95" s="14"/>
      <c r="K95" s="12" t="str">
        <f aca="false">IF($A95="","",IF($H95&lt;&gt;"Yes",0,IF(OR($C95="Clothing",$C95="Jewellery",$C95="Perfume",$C95="Beauty",$C95="Food"),25,0)+IF($I95="None",30,IF($I95="Link-in-bio",30,IF($I95="Own site",15,0)))+IF($E95="",10,IF($E95&lt;1000,10,IF($E95&lt;=50000,25,IF($E95&lt;=150000,15,5))))+IF($J95="Yes",20,0)))</f>
        <v/>
      </c>
      <c r="L95" s="12" t="str">
        <f aca="false">IF($A95="","",IF($K95&gt;=75,"High",IF($K95&gt;=50,"Medium",IF($K95=0,"Skip","Low"))))</f>
        <v/>
      </c>
      <c r="M95" s="16"/>
      <c r="N95" s="14"/>
      <c r="O95" s="17"/>
    </row>
    <row r="96" customFormat="false" ht="15" hidden="false" customHeight="false" outlineLevel="0" collapsed="false">
      <c r="A96" s="18"/>
      <c r="B96" s="18"/>
      <c r="C96" s="18"/>
      <c r="D96" s="18"/>
      <c r="E96" s="19"/>
      <c r="F96" s="20"/>
      <c r="G96" s="21" t="str">
        <f aca="true">IF($A96="","",IF($F96="","",TODAY()-$F96))</f>
        <v/>
      </c>
      <c r="H96" s="21" t="str">
        <f aca="false">IF($A96="","",IF($F96="","",IF($G96&lt;=30,"Yes","No")))</f>
        <v/>
      </c>
      <c r="I96" s="18"/>
      <c r="J96" s="18"/>
      <c r="K96" s="21" t="str">
        <f aca="false">IF($A96="","",IF($H96&lt;&gt;"Yes",0,IF(OR($C96="Clothing",$C96="Jewellery",$C96="Perfume",$C96="Beauty",$C96="Food"),25,0)+IF($I96="None",30,IF($I96="Link-in-bio",30,IF($I96="Own site",15,0)))+IF($E96="",10,IF($E96&lt;1000,10,IF($E96&lt;=50000,25,IF($E96&lt;=150000,15,5))))+IF($J96="Yes",20,0)))</f>
        <v/>
      </c>
      <c r="L96" s="21" t="str">
        <f aca="false">IF($A96="","",IF($K96&gt;=75,"High",IF($K96&gt;=50,"Medium",IF($K96=0,"Skip","Low"))))</f>
        <v/>
      </c>
      <c r="M96" s="20"/>
      <c r="N96" s="18"/>
      <c r="O96" s="22"/>
    </row>
    <row r="97" customFormat="false" ht="15" hidden="false" customHeight="false" outlineLevel="0" collapsed="false">
      <c r="A97" s="14"/>
      <c r="B97" s="14"/>
      <c r="C97" s="14"/>
      <c r="D97" s="14"/>
      <c r="E97" s="15"/>
      <c r="F97" s="16"/>
      <c r="G97" s="12" t="str">
        <f aca="true">IF($A97="","",IF($F97="","",TODAY()-$F97))</f>
        <v/>
      </c>
      <c r="H97" s="12" t="str">
        <f aca="false">IF($A97="","",IF($F97="","",IF($G97&lt;=30,"Yes","No")))</f>
        <v/>
      </c>
      <c r="I97" s="14"/>
      <c r="J97" s="14"/>
      <c r="K97" s="12" t="str">
        <f aca="false">IF($A97="","",IF($H97&lt;&gt;"Yes",0,IF(OR($C97="Clothing",$C97="Jewellery",$C97="Perfume",$C97="Beauty",$C97="Food"),25,0)+IF($I97="None",30,IF($I97="Link-in-bio",30,IF($I97="Own site",15,0)))+IF($E97="",10,IF($E97&lt;1000,10,IF($E97&lt;=50000,25,IF($E97&lt;=150000,15,5))))+IF($J97="Yes",20,0)))</f>
        <v/>
      </c>
      <c r="L97" s="12" t="str">
        <f aca="false">IF($A97="","",IF($K97&gt;=75,"High",IF($K97&gt;=50,"Medium",IF($K97=0,"Skip","Low"))))</f>
        <v/>
      </c>
      <c r="M97" s="16"/>
      <c r="N97" s="14"/>
      <c r="O97" s="17"/>
    </row>
    <row r="98" customFormat="false" ht="15" hidden="false" customHeight="false" outlineLevel="0" collapsed="false">
      <c r="A98" s="18"/>
      <c r="B98" s="18"/>
      <c r="C98" s="18"/>
      <c r="D98" s="18"/>
      <c r="E98" s="19"/>
      <c r="F98" s="20"/>
      <c r="G98" s="21" t="str">
        <f aca="true">IF($A98="","",IF($F98="","",TODAY()-$F98))</f>
        <v/>
      </c>
      <c r="H98" s="21" t="str">
        <f aca="false">IF($A98="","",IF($F98="","",IF($G98&lt;=30,"Yes","No")))</f>
        <v/>
      </c>
      <c r="I98" s="18"/>
      <c r="J98" s="18"/>
      <c r="K98" s="21" t="str">
        <f aca="false">IF($A98="","",IF($H98&lt;&gt;"Yes",0,IF(OR($C98="Clothing",$C98="Jewellery",$C98="Perfume",$C98="Beauty",$C98="Food"),25,0)+IF($I98="None",30,IF($I98="Link-in-bio",30,IF($I98="Own site",15,0)))+IF($E98="",10,IF($E98&lt;1000,10,IF($E98&lt;=50000,25,IF($E98&lt;=150000,15,5))))+IF($J98="Yes",20,0)))</f>
        <v/>
      </c>
      <c r="L98" s="21" t="str">
        <f aca="false">IF($A98="","",IF($K98&gt;=75,"High",IF($K98&gt;=50,"Medium",IF($K98=0,"Skip","Low"))))</f>
        <v/>
      </c>
      <c r="M98" s="20"/>
      <c r="N98" s="18"/>
      <c r="O98" s="22"/>
    </row>
    <row r="99" customFormat="false" ht="15" hidden="false" customHeight="false" outlineLevel="0" collapsed="false">
      <c r="A99" s="14"/>
      <c r="B99" s="14"/>
      <c r="C99" s="14"/>
      <c r="D99" s="14"/>
      <c r="E99" s="15"/>
      <c r="F99" s="16"/>
      <c r="G99" s="12" t="str">
        <f aca="true">IF($A99="","",IF($F99="","",TODAY()-$F99))</f>
        <v/>
      </c>
      <c r="H99" s="12" t="str">
        <f aca="false">IF($A99="","",IF($F99="","",IF($G99&lt;=30,"Yes","No")))</f>
        <v/>
      </c>
      <c r="I99" s="14"/>
      <c r="J99" s="14"/>
      <c r="K99" s="12" t="str">
        <f aca="false">IF($A99="","",IF($H99&lt;&gt;"Yes",0,IF(OR($C99="Clothing",$C99="Jewellery",$C99="Perfume",$C99="Beauty",$C99="Food"),25,0)+IF($I99="None",30,IF($I99="Link-in-bio",30,IF($I99="Own site",15,0)))+IF($E99="",10,IF($E99&lt;1000,10,IF($E99&lt;=50000,25,IF($E99&lt;=150000,15,5))))+IF($J99="Yes",20,0)))</f>
        <v/>
      </c>
      <c r="L99" s="12" t="str">
        <f aca="false">IF($A99="","",IF($K99&gt;=75,"High",IF($K99&gt;=50,"Medium",IF($K99=0,"Skip","Low"))))</f>
        <v/>
      </c>
      <c r="M99" s="16"/>
      <c r="N99" s="14"/>
      <c r="O99" s="17"/>
    </row>
    <row r="100" customFormat="false" ht="15" hidden="false" customHeight="false" outlineLevel="0" collapsed="false">
      <c r="A100" s="18"/>
      <c r="B100" s="18"/>
      <c r="C100" s="18"/>
      <c r="D100" s="18"/>
      <c r="E100" s="19"/>
      <c r="F100" s="20"/>
      <c r="G100" s="21" t="str">
        <f aca="true">IF($A100="","",IF($F100="","",TODAY()-$F100))</f>
        <v/>
      </c>
      <c r="H100" s="21" t="str">
        <f aca="false">IF($A100="","",IF($F100="","",IF($G100&lt;=30,"Yes","No")))</f>
        <v/>
      </c>
      <c r="I100" s="18"/>
      <c r="J100" s="18"/>
      <c r="K100" s="21" t="str">
        <f aca="false">IF($A100="","",IF($H100&lt;&gt;"Yes",0,IF(OR($C100="Clothing",$C100="Jewellery",$C100="Perfume",$C100="Beauty",$C100="Food"),25,0)+IF($I100="None",30,IF($I100="Link-in-bio",30,IF($I100="Own site",15,0)))+IF($E100="",10,IF($E100&lt;1000,10,IF($E100&lt;=50000,25,IF($E100&lt;=150000,15,5))))+IF($J100="Yes",20,0)))</f>
        <v/>
      </c>
      <c r="L100" s="21" t="str">
        <f aca="false">IF($A100="","",IF($K100&gt;=75,"High",IF($K100&gt;=50,"Medium",IF($K100=0,"Skip","Low"))))</f>
        <v/>
      </c>
      <c r="M100" s="20"/>
      <c r="N100" s="18"/>
      <c r="O100" s="22"/>
    </row>
    <row r="101" customFormat="false" ht="15" hidden="false" customHeight="false" outlineLevel="0" collapsed="false">
      <c r="A101" s="14"/>
      <c r="B101" s="14"/>
      <c r="C101" s="14"/>
      <c r="D101" s="14"/>
      <c r="E101" s="15"/>
      <c r="F101" s="16"/>
      <c r="G101" s="12" t="str">
        <f aca="true">IF($A101="","",IF($F101="","",TODAY()-$F101))</f>
        <v/>
      </c>
      <c r="H101" s="12" t="str">
        <f aca="false">IF($A101="","",IF($F101="","",IF($G101&lt;=30,"Yes","No")))</f>
        <v/>
      </c>
      <c r="I101" s="14"/>
      <c r="J101" s="14"/>
      <c r="K101" s="12" t="str">
        <f aca="false">IF($A101="","",IF($H101&lt;&gt;"Yes",0,IF(OR($C101="Clothing",$C101="Jewellery",$C101="Perfume",$C101="Beauty",$C101="Food"),25,0)+IF($I101="None",30,IF($I101="Link-in-bio",30,IF($I101="Own site",15,0)))+IF($E101="",10,IF($E101&lt;1000,10,IF($E101&lt;=50000,25,IF($E101&lt;=150000,15,5))))+IF($J101="Yes",20,0)))</f>
        <v/>
      </c>
      <c r="L101" s="12" t="str">
        <f aca="false">IF($A101="","",IF($K101&gt;=75,"High",IF($K101&gt;=50,"Medium",IF($K101=0,"Skip","Low"))))</f>
        <v/>
      </c>
      <c r="M101" s="16"/>
      <c r="N101" s="14"/>
      <c r="O101" s="17"/>
    </row>
    <row r="102" customFormat="false" ht="15" hidden="false" customHeight="false" outlineLevel="0" collapsed="false">
      <c r="A102" s="18"/>
      <c r="B102" s="18"/>
      <c r="C102" s="18"/>
      <c r="D102" s="18"/>
      <c r="E102" s="19"/>
      <c r="F102" s="20"/>
      <c r="G102" s="21" t="str">
        <f aca="true">IF($A102="","",IF($F102="","",TODAY()-$F102))</f>
        <v/>
      </c>
      <c r="H102" s="21" t="str">
        <f aca="false">IF($A102="","",IF($F102="","",IF($G102&lt;=30,"Yes","No")))</f>
        <v/>
      </c>
      <c r="I102" s="18"/>
      <c r="J102" s="18"/>
      <c r="K102" s="21" t="str">
        <f aca="false">IF($A102="","",IF($H102&lt;&gt;"Yes",0,IF(OR($C102="Clothing",$C102="Jewellery",$C102="Perfume",$C102="Beauty",$C102="Food"),25,0)+IF($I102="None",30,IF($I102="Link-in-bio",30,IF($I102="Own site",15,0)))+IF($E102="",10,IF($E102&lt;1000,10,IF($E102&lt;=50000,25,IF($E102&lt;=150000,15,5))))+IF($J102="Yes",20,0)))</f>
        <v/>
      </c>
      <c r="L102" s="21" t="str">
        <f aca="false">IF($A102="","",IF($K102&gt;=75,"High",IF($K102&gt;=50,"Medium",IF($K102=0,"Skip","Low"))))</f>
        <v/>
      </c>
      <c r="M102" s="20"/>
      <c r="N102" s="18"/>
      <c r="O102" s="22"/>
    </row>
    <row r="103" customFormat="false" ht="15" hidden="false" customHeight="false" outlineLevel="0" collapsed="false">
      <c r="A103" s="14"/>
      <c r="B103" s="14"/>
      <c r="C103" s="14"/>
      <c r="D103" s="14"/>
      <c r="E103" s="15"/>
      <c r="F103" s="16"/>
      <c r="G103" s="12" t="str">
        <f aca="true">IF($A103="","",IF($F103="","",TODAY()-$F103))</f>
        <v/>
      </c>
      <c r="H103" s="12" t="str">
        <f aca="false">IF($A103="","",IF($F103="","",IF($G103&lt;=30,"Yes","No")))</f>
        <v/>
      </c>
      <c r="I103" s="14"/>
      <c r="J103" s="14"/>
      <c r="K103" s="12" t="str">
        <f aca="false">IF($A103="","",IF($H103&lt;&gt;"Yes",0,IF(OR($C103="Clothing",$C103="Jewellery",$C103="Perfume",$C103="Beauty",$C103="Food"),25,0)+IF($I103="None",30,IF($I103="Link-in-bio",30,IF($I103="Own site",15,0)))+IF($E103="",10,IF($E103&lt;1000,10,IF($E103&lt;=50000,25,IF($E103&lt;=150000,15,5))))+IF($J103="Yes",20,0)))</f>
        <v/>
      </c>
      <c r="L103" s="12" t="str">
        <f aca="false">IF($A103="","",IF($K103&gt;=75,"High",IF($K103&gt;=50,"Medium",IF($K103=0,"Skip","Low"))))</f>
        <v/>
      </c>
      <c r="M103" s="16"/>
      <c r="N103" s="14"/>
      <c r="O103" s="17"/>
    </row>
    <row r="104" customFormat="false" ht="15" hidden="false" customHeight="false" outlineLevel="0" collapsed="false">
      <c r="A104" s="18"/>
      <c r="B104" s="18"/>
      <c r="C104" s="18"/>
      <c r="D104" s="18"/>
      <c r="E104" s="19"/>
      <c r="F104" s="20"/>
      <c r="G104" s="21" t="str">
        <f aca="true">IF($A104="","",IF($F104="","",TODAY()-$F104))</f>
        <v/>
      </c>
      <c r="H104" s="21" t="str">
        <f aca="false">IF($A104="","",IF($F104="","",IF($G104&lt;=30,"Yes","No")))</f>
        <v/>
      </c>
      <c r="I104" s="18"/>
      <c r="J104" s="18"/>
      <c r="K104" s="21" t="str">
        <f aca="false">IF($A104="","",IF($H104&lt;&gt;"Yes",0,IF(OR($C104="Clothing",$C104="Jewellery",$C104="Perfume",$C104="Beauty",$C104="Food"),25,0)+IF($I104="None",30,IF($I104="Link-in-bio",30,IF($I104="Own site",15,0)))+IF($E104="",10,IF($E104&lt;1000,10,IF($E104&lt;=50000,25,IF($E104&lt;=150000,15,5))))+IF($J104="Yes",20,0)))</f>
        <v/>
      </c>
      <c r="L104" s="21" t="str">
        <f aca="false">IF($A104="","",IF($K104&gt;=75,"High",IF($K104&gt;=50,"Medium",IF($K104=0,"Skip","Low"))))</f>
        <v/>
      </c>
      <c r="M104" s="20"/>
      <c r="N104" s="18"/>
      <c r="O104" s="22"/>
    </row>
    <row r="105" customFormat="false" ht="15" hidden="false" customHeight="false" outlineLevel="0" collapsed="false">
      <c r="A105" s="14"/>
      <c r="B105" s="14"/>
      <c r="C105" s="14"/>
      <c r="D105" s="14"/>
      <c r="E105" s="15"/>
      <c r="F105" s="16"/>
      <c r="G105" s="12" t="str">
        <f aca="true">IF($A105="","",IF($F105="","",TODAY()-$F105))</f>
        <v/>
      </c>
      <c r="H105" s="12" t="str">
        <f aca="false">IF($A105="","",IF($F105="","",IF($G105&lt;=30,"Yes","No")))</f>
        <v/>
      </c>
      <c r="I105" s="14"/>
      <c r="J105" s="14"/>
      <c r="K105" s="12" t="str">
        <f aca="false">IF($A105="","",IF($H105&lt;&gt;"Yes",0,IF(OR($C105="Clothing",$C105="Jewellery",$C105="Perfume",$C105="Beauty",$C105="Food"),25,0)+IF($I105="None",30,IF($I105="Link-in-bio",30,IF($I105="Own site",15,0)))+IF($E105="",10,IF($E105&lt;1000,10,IF($E105&lt;=50000,25,IF($E105&lt;=150000,15,5))))+IF($J105="Yes",20,0)))</f>
        <v/>
      </c>
      <c r="L105" s="12" t="str">
        <f aca="false">IF($A105="","",IF($K105&gt;=75,"High",IF($K105&gt;=50,"Medium",IF($K105=0,"Skip","Low"))))</f>
        <v/>
      </c>
      <c r="M105" s="16"/>
      <c r="N105" s="14"/>
      <c r="O105" s="17"/>
    </row>
    <row r="106" customFormat="false" ht="15" hidden="false" customHeight="false" outlineLevel="0" collapsed="false">
      <c r="A106" s="18"/>
      <c r="B106" s="18"/>
      <c r="C106" s="18"/>
      <c r="D106" s="18"/>
      <c r="E106" s="19"/>
      <c r="F106" s="20"/>
      <c r="G106" s="21" t="str">
        <f aca="true">IF($A106="","",IF($F106="","",TODAY()-$F106))</f>
        <v/>
      </c>
      <c r="H106" s="21" t="str">
        <f aca="false">IF($A106="","",IF($F106="","",IF($G106&lt;=30,"Yes","No")))</f>
        <v/>
      </c>
      <c r="I106" s="18"/>
      <c r="J106" s="18"/>
      <c r="K106" s="21" t="str">
        <f aca="false">IF($A106="","",IF($H106&lt;&gt;"Yes",0,IF(OR($C106="Clothing",$C106="Jewellery",$C106="Perfume",$C106="Beauty",$C106="Food"),25,0)+IF($I106="None",30,IF($I106="Link-in-bio",30,IF($I106="Own site",15,0)))+IF($E106="",10,IF($E106&lt;1000,10,IF($E106&lt;=50000,25,IF($E106&lt;=150000,15,5))))+IF($J106="Yes",20,0)))</f>
        <v/>
      </c>
      <c r="L106" s="21" t="str">
        <f aca="false">IF($A106="","",IF($K106&gt;=75,"High",IF($K106&gt;=50,"Medium",IF($K106=0,"Skip","Low"))))</f>
        <v/>
      </c>
      <c r="M106" s="20"/>
      <c r="N106" s="18"/>
      <c r="O106" s="22"/>
    </row>
    <row r="107" customFormat="false" ht="15" hidden="false" customHeight="false" outlineLevel="0" collapsed="false">
      <c r="A107" s="14"/>
      <c r="B107" s="14"/>
      <c r="C107" s="14"/>
      <c r="D107" s="14"/>
      <c r="E107" s="15"/>
      <c r="F107" s="16"/>
      <c r="G107" s="12" t="str">
        <f aca="true">IF($A107="","",IF($F107="","",TODAY()-$F107))</f>
        <v/>
      </c>
      <c r="H107" s="12" t="str">
        <f aca="false">IF($A107="","",IF($F107="","",IF($G107&lt;=30,"Yes","No")))</f>
        <v/>
      </c>
      <c r="I107" s="14"/>
      <c r="J107" s="14"/>
      <c r="K107" s="12" t="str">
        <f aca="false">IF($A107="","",IF($H107&lt;&gt;"Yes",0,IF(OR($C107="Clothing",$C107="Jewellery",$C107="Perfume",$C107="Beauty",$C107="Food"),25,0)+IF($I107="None",30,IF($I107="Link-in-bio",30,IF($I107="Own site",15,0)))+IF($E107="",10,IF($E107&lt;1000,10,IF($E107&lt;=50000,25,IF($E107&lt;=150000,15,5))))+IF($J107="Yes",20,0)))</f>
        <v/>
      </c>
      <c r="L107" s="12" t="str">
        <f aca="false">IF($A107="","",IF($K107&gt;=75,"High",IF($K107&gt;=50,"Medium",IF($K107=0,"Skip","Low"))))</f>
        <v/>
      </c>
      <c r="M107" s="16"/>
      <c r="N107" s="14"/>
      <c r="O107" s="17"/>
    </row>
    <row r="108" customFormat="false" ht="15" hidden="false" customHeight="false" outlineLevel="0" collapsed="false">
      <c r="A108" s="18"/>
      <c r="B108" s="18"/>
      <c r="C108" s="18"/>
      <c r="D108" s="18"/>
      <c r="E108" s="19"/>
      <c r="F108" s="20"/>
      <c r="G108" s="21" t="str">
        <f aca="true">IF($A108="","",IF($F108="","",TODAY()-$F108))</f>
        <v/>
      </c>
      <c r="H108" s="21" t="str">
        <f aca="false">IF($A108="","",IF($F108="","",IF($G108&lt;=30,"Yes","No")))</f>
        <v/>
      </c>
      <c r="I108" s="18"/>
      <c r="J108" s="18"/>
      <c r="K108" s="21" t="str">
        <f aca="false">IF($A108="","",IF($H108&lt;&gt;"Yes",0,IF(OR($C108="Clothing",$C108="Jewellery",$C108="Perfume",$C108="Beauty",$C108="Food"),25,0)+IF($I108="None",30,IF($I108="Link-in-bio",30,IF($I108="Own site",15,0)))+IF($E108="",10,IF($E108&lt;1000,10,IF($E108&lt;=50000,25,IF($E108&lt;=150000,15,5))))+IF($J108="Yes",20,0)))</f>
        <v/>
      </c>
      <c r="L108" s="21" t="str">
        <f aca="false">IF($A108="","",IF($K108&gt;=75,"High",IF($K108&gt;=50,"Medium",IF($K108=0,"Skip","Low"))))</f>
        <v/>
      </c>
      <c r="M108" s="20"/>
      <c r="N108" s="18"/>
      <c r="O108" s="22"/>
    </row>
    <row r="109" customFormat="false" ht="15" hidden="false" customHeight="false" outlineLevel="0" collapsed="false">
      <c r="A109" s="14"/>
      <c r="B109" s="14"/>
      <c r="C109" s="14"/>
      <c r="D109" s="14"/>
      <c r="E109" s="15"/>
      <c r="F109" s="16"/>
      <c r="G109" s="12" t="str">
        <f aca="true">IF($A109="","",IF($F109="","",TODAY()-$F109))</f>
        <v/>
      </c>
      <c r="H109" s="12" t="str">
        <f aca="false">IF($A109="","",IF($F109="","",IF($G109&lt;=30,"Yes","No")))</f>
        <v/>
      </c>
      <c r="I109" s="14"/>
      <c r="J109" s="14"/>
      <c r="K109" s="12" t="str">
        <f aca="false">IF($A109="","",IF($H109&lt;&gt;"Yes",0,IF(OR($C109="Clothing",$C109="Jewellery",$C109="Perfume",$C109="Beauty",$C109="Food"),25,0)+IF($I109="None",30,IF($I109="Link-in-bio",30,IF($I109="Own site",15,0)))+IF($E109="",10,IF($E109&lt;1000,10,IF($E109&lt;=50000,25,IF($E109&lt;=150000,15,5))))+IF($J109="Yes",20,0)))</f>
        <v/>
      </c>
      <c r="L109" s="12" t="str">
        <f aca="false">IF($A109="","",IF($K109&gt;=75,"High",IF($K109&gt;=50,"Medium",IF($K109=0,"Skip","Low"))))</f>
        <v/>
      </c>
      <c r="M109" s="16"/>
      <c r="N109" s="14"/>
      <c r="O109" s="17"/>
    </row>
    <row r="110" customFormat="false" ht="15" hidden="false" customHeight="false" outlineLevel="0" collapsed="false">
      <c r="A110" s="18"/>
      <c r="B110" s="18"/>
      <c r="C110" s="18"/>
      <c r="D110" s="18"/>
      <c r="E110" s="19"/>
      <c r="F110" s="20"/>
      <c r="G110" s="21" t="str">
        <f aca="true">IF($A110="","",IF($F110="","",TODAY()-$F110))</f>
        <v/>
      </c>
      <c r="H110" s="21" t="str">
        <f aca="false">IF($A110="","",IF($F110="","",IF($G110&lt;=30,"Yes","No")))</f>
        <v/>
      </c>
      <c r="I110" s="18"/>
      <c r="J110" s="18"/>
      <c r="K110" s="21" t="str">
        <f aca="false">IF($A110="","",IF($H110&lt;&gt;"Yes",0,IF(OR($C110="Clothing",$C110="Jewellery",$C110="Perfume",$C110="Beauty",$C110="Food"),25,0)+IF($I110="None",30,IF($I110="Link-in-bio",30,IF($I110="Own site",15,0)))+IF($E110="",10,IF($E110&lt;1000,10,IF($E110&lt;=50000,25,IF($E110&lt;=150000,15,5))))+IF($J110="Yes",20,0)))</f>
        <v/>
      </c>
      <c r="L110" s="21" t="str">
        <f aca="false">IF($A110="","",IF($K110&gt;=75,"High",IF($K110&gt;=50,"Medium",IF($K110=0,"Skip","Low"))))</f>
        <v/>
      </c>
      <c r="M110" s="20"/>
      <c r="N110" s="18"/>
      <c r="O110" s="22"/>
    </row>
    <row r="111" customFormat="false" ht="15" hidden="false" customHeight="false" outlineLevel="0" collapsed="false">
      <c r="A111" s="14"/>
      <c r="B111" s="14"/>
      <c r="C111" s="14"/>
      <c r="D111" s="14"/>
      <c r="E111" s="15"/>
      <c r="F111" s="16"/>
      <c r="G111" s="12" t="str">
        <f aca="true">IF($A111="","",IF($F111="","",TODAY()-$F111))</f>
        <v/>
      </c>
      <c r="H111" s="12" t="str">
        <f aca="false">IF($A111="","",IF($F111="","",IF($G111&lt;=30,"Yes","No")))</f>
        <v/>
      </c>
      <c r="I111" s="14"/>
      <c r="J111" s="14"/>
      <c r="K111" s="12" t="str">
        <f aca="false">IF($A111="","",IF($H111&lt;&gt;"Yes",0,IF(OR($C111="Clothing",$C111="Jewellery",$C111="Perfume",$C111="Beauty",$C111="Food"),25,0)+IF($I111="None",30,IF($I111="Link-in-bio",30,IF($I111="Own site",15,0)))+IF($E111="",10,IF($E111&lt;1000,10,IF($E111&lt;=50000,25,IF($E111&lt;=150000,15,5))))+IF($J111="Yes",20,0)))</f>
        <v/>
      </c>
      <c r="L111" s="12" t="str">
        <f aca="false">IF($A111="","",IF($K111&gt;=75,"High",IF($K111&gt;=50,"Medium",IF($K111=0,"Skip","Low"))))</f>
        <v/>
      </c>
      <c r="M111" s="16"/>
      <c r="N111" s="14"/>
      <c r="O111" s="17"/>
    </row>
    <row r="112" customFormat="false" ht="15" hidden="false" customHeight="false" outlineLevel="0" collapsed="false">
      <c r="A112" s="18"/>
      <c r="B112" s="18"/>
      <c r="C112" s="18"/>
      <c r="D112" s="18"/>
      <c r="E112" s="19"/>
      <c r="F112" s="20"/>
      <c r="G112" s="21" t="str">
        <f aca="true">IF($A112="","",IF($F112="","",TODAY()-$F112))</f>
        <v/>
      </c>
      <c r="H112" s="21" t="str">
        <f aca="false">IF($A112="","",IF($F112="","",IF($G112&lt;=30,"Yes","No")))</f>
        <v/>
      </c>
      <c r="I112" s="18"/>
      <c r="J112" s="18"/>
      <c r="K112" s="21" t="str">
        <f aca="false">IF($A112="","",IF($H112&lt;&gt;"Yes",0,IF(OR($C112="Clothing",$C112="Jewellery",$C112="Perfume",$C112="Beauty",$C112="Food"),25,0)+IF($I112="None",30,IF($I112="Link-in-bio",30,IF($I112="Own site",15,0)))+IF($E112="",10,IF($E112&lt;1000,10,IF($E112&lt;=50000,25,IF($E112&lt;=150000,15,5))))+IF($J112="Yes",20,0)))</f>
        <v/>
      </c>
      <c r="L112" s="21" t="str">
        <f aca="false">IF($A112="","",IF($K112&gt;=75,"High",IF($K112&gt;=50,"Medium",IF($K112=0,"Skip","Low"))))</f>
        <v/>
      </c>
      <c r="M112" s="20"/>
      <c r="N112" s="18"/>
      <c r="O112" s="22"/>
    </row>
    <row r="113" customFormat="false" ht="15" hidden="false" customHeight="false" outlineLevel="0" collapsed="false">
      <c r="A113" s="14"/>
      <c r="B113" s="14"/>
      <c r="C113" s="14"/>
      <c r="D113" s="14"/>
      <c r="E113" s="15"/>
      <c r="F113" s="16"/>
      <c r="G113" s="12" t="str">
        <f aca="true">IF($A113="","",IF($F113="","",TODAY()-$F113))</f>
        <v/>
      </c>
      <c r="H113" s="12" t="str">
        <f aca="false">IF($A113="","",IF($F113="","",IF($G113&lt;=30,"Yes","No")))</f>
        <v/>
      </c>
      <c r="I113" s="14"/>
      <c r="J113" s="14"/>
      <c r="K113" s="12" t="str">
        <f aca="false">IF($A113="","",IF($H113&lt;&gt;"Yes",0,IF(OR($C113="Clothing",$C113="Jewellery",$C113="Perfume",$C113="Beauty",$C113="Food"),25,0)+IF($I113="None",30,IF($I113="Link-in-bio",30,IF($I113="Own site",15,0)))+IF($E113="",10,IF($E113&lt;1000,10,IF($E113&lt;=50000,25,IF($E113&lt;=150000,15,5))))+IF($J113="Yes",20,0)))</f>
        <v/>
      </c>
      <c r="L113" s="12" t="str">
        <f aca="false">IF($A113="","",IF($K113&gt;=75,"High",IF($K113&gt;=50,"Medium",IF($K113=0,"Skip","Low"))))</f>
        <v/>
      </c>
      <c r="M113" s="16"/>
      <c r="N113" s="14"/>
      <c r="O113" s="17"/>
    </row>
    <row r="114" customFormat="false" ht="15" hidden="false" customHeight="false" outlineLevel="0" collapsed="false">
      <c r="A114" s="18"/>
      <c r="B114" s="18"/>
      <c r="C114" s="18"/>
      <c r="D114" s="18"/>
      <c r="E114" s="19"/>
      <c r="F114" s="20"/>
      <c r="G114" s="21" t="str">
        <f aca="true">IF($A114="","",IF($F114="","",TODAY()-$F114))</f>
        <v/>
      </c>
      <c r="H114" s="21" t="str">
        <f aca="false">IF($A114="","",IF($F114="","",IF($G114&lt;=30,"Yes","No")))</f>
        <v/>
      </c>
      <c r="I114" s="18"/>
      <c r="J114" s="18"/>
      <c r="K114" s="21" t="str">
        <f aca="false">IF($A114="","",IF($H114&lt;&gt;"Yes",0,IF(OR($C114="Clothing",$C114="Jewellery",$C114="Perfume",$C114="Beauty",$C114="Food"),25,0)+IF($I114="None",30,IF($I114="Link-in-bio",30,IF($I114="Own site",15,0)))+IF($E114="",10,IF($E114&lt;1000,10,IF($E114&lt;=50000,25,IF($E114&lt;=150000,15,5))))+IF($J114="Yes",20,0)))</f>
        <v/>
      </c>
      <c r="L114" s="21" t="str">
        <f aca="false">IF($A114="","",IF($K114&gt;=75,"High",IF($K114&gt;=50,"Medium",IF($K114=0,"Skip","Low"))))</f>
        <v/>
      </c>
      <c r="M114" s="20"/>
      <c r="N114" s="18"/>
      <c r="O114" s="22"/>
    </row>
    <row r="115" customFormat="false" ht="15" hidden="false" customHeight="false" outlineLevel="0" collapsed="false">
      <c r="A115" s="14"/>
      <c r="B115" s="14"/>
      <c r="C115" s="14"/>
      <c r="D115" s="14"/>
      <c r="E115" s="15"/>
      <c r="F115" s="16"/>
      <c r="G115" s="12" t="str">
        <f aca="true">IF($A115="","",IF($F115="","",TODAY()-$F115))</f>
        <v/>
      </c>
      <c r="H115" s="12" t="str">
        <f aca="false">IF($A115="","",IF($F115="","",IF($G115&lt;=30,"Yes","No")))</f>
        <v/>
      </c>
      <c r="I115" s="14"/>
      <c r="J115" s="14"/>
      <c r="K115" s="12" t="str">
        <f aca="false">IF($A115="","",IF($H115&lt;&gt;"Yes",0,IF(OR($C115="Clothing",$C115="Jewellery",$C115="Perfume",$C115="Beauty",$C115="Food"),25,0)+IF($I115="None",30,IF($I115="Link-in-bio",30,IF($I115="Own site",15,0)))+IF($E115="",10,IF($E115&lt;1000,10,IF($E115&lt;=50000,25,IF($E115&lt;=150000,15,5))))+IF($J115="Yes",20,0)))</f>
        <v/>
      </c>
      <c r="L115" s="12" t="str">
        <f aca="false">IF($A115="","",IF($K115&gt;=75,"High",IF($K115&gt;=50,"Medium",IF($K115=0,"Skip","Low"))))</f>
        <v/>
      </c>
      <c r="M115" s="16"/>
      <c r="N115" s="14"/>
      <c r="O115" s="17"/>
    </row>
    <row r="116" customFormat="false" ht="15" hidden="false" customHeight="false" outlineLevel="0" collapsed="false">
      <c r="A116" s="18"/>
      <c r="B116" s="18"/>
      <c r="C116" s="18"/>
      <c r="D116" s="18"/>
      <c r="E116" s="19"/>
      <c r="F116" s="20"/>
      <c r="G116" s="21" t="str">
        <f aca="true">IF($A116="","",IF($F116="","",TODAY()-$F116))</f>
        <v/>
      </c>
      <c r="H116" s="21" t="str">
        <f aca="false">IF($A116="","",IF($F116="","",IF($G116&lt;=30,"Yes","No")))</f>
        <v/>
      </c>
      <c r="I116" s="18"/>
      <c r="J116" s="18"/>
      <c r="K116" s="21" t="str">
        <f aca="false">IF($A116="","",IF($H116&lt;&gt;"Yes",0,IF(OR($C116="Clothing",$C116="Jewellery",$C116="Perfume",$C116="Beauty",$C116="Food"),25,0)+IF($I116="None",30,IF($I116="Link-in-bio",30,IF($I116="Own site",15,0)))+IF($E116="",10,IF($E116&lt;1000,10,IF($E116&lt;=50000,25,IF($E116&lt;=150000,15,5))))+IF($J116="Yes",20,0)))</f>
        <v/>
      </c>
      <c r="L116" s="21" t="str">
        <f aca="false">IF($A116="","",IF($K116&gt;=75,"High",IF($K116&gt;=50,"Medium",IF($K116=0,"Skip","Low"))))</f>
        <v/>
      </c>
      <c r="M116" s="20"/>
      <c r="N116" s="18"/>
      <c r="O116" s="22"/>
    </row>
    <row r="117" customFormat="false" ht="15" hidden="false" customHeight="false" outlineLevel="0" collapsed="false">
      <c r="A117" s="14"/>
      <c r="B117" s="14"/>
      <c r="C117" s="14"/>
      <c r="D117" s="14"/>
      <c r="E117" s="15"/>
      <c r="F117" s="16"/>
      <c r="G117" s="12" t="str">
        <f aca="true">IF($A117="","",IF($F117="","",TODAY()-$F117))</f>
        <v/>
      </c>
      <c r="H117" s="12" t="str">
        <f aca="false">IF($A117="","",IF($F117="","",IF($G117&lt;=30,"Yes","No")))</f>
        <v/>
      </c>
      <c r="I117" s="14"/>
      <c r="J117" s="14"/>
      <c r="K117" s="12" t="str">
        <f aca="false">IF($A117="","",IF($H117&lt;&gt;"Yes",0,IF(OR($C117="Clothing",$C117="Jewellery",$C117="Perfume",$C117="Beauty",$C117="Food"),25,0)+IF($I117="None",30,IF($I117="Link-in-bio",30,IF($I117="Own site",15,0)))+IF($E117="",10,IF($E117&lt;1000,10,IF($E117&lt;=50000,25,IF($E117&lt;=150000,15,5))))+IF($J117="Yes",20,0)))</f>
        <v/>
      </c>
      <c r="L117" s="12" t="str">
        <f aca="false">IF($A117="","",IF($K117&gt;=75,"High",IF($K117&gt;=50,"Medium",IF($K117=0,"Skip","Low"))))</f>
        <v/>
      </c>
      <c r="M117" s="16"/>
      <c r="N117" s="14"/>
      <c r="O117" s="17"/>
    </row>
    <row r="118" customFormat="false" ht="15" hidden="false" customHeight="false" outlineLevel="0" collapsed="false">
      <c r="A118" s="18"/>
      <c r="B118" s="18"/>
      <c r="C118" s="18"/>
      <c r="D118" s="18"/>
      <c r="E118" s="19"/>
      <c r="F118" s="20"/>
      <c r="G118" s="21" t="str">
        <f aca="true">IF($A118="","",IF($F118="","",TODAY()-$F118))</f>
        <v/>
      </c>
      <c r="H118" s="21" t="str">
        <f aca="false">IF($A118="","",IF($F118="","",IF($G118&lt;=30,"Yes","No")))</f>
        <v/>
      </c>
      <c r="I118" s="18"/>
      <c r="J118" s="18"/>
      <c r="K118" s="21" t="str">
        <f aca="false">IF($A118="","",IF($H118&lt;&gt;"Yes",0,IF(OR($C118="Clothing",$C118="Jewellery",$C118="Perfume",$C118="Beauty",$C118="Food"),25,0)+IF($I118="None",30,IF($I118="Link-in-bio",30,IF($I118="Own site",15,0)))+IF($E118="",10,IF($E118&lt;1000,10,IF($E118&lt;=50000,25,IF($E118&lt;=150000,15,5))))+IF($J118="Yes",20,0)))</f>
        <v/>
      </c>
      <c r="L118" s="21" t="str">
        <f aca="false">IF($A118="","",IF($K118&gt;=75,"High",IF($K118&gt;=50,"Medium",IF($K118=0,"Skip","Low"))))</f>
        <v/>
      </c>
      <c r="M118" s="20"/>
      <c r="N118" s="18"/>
      <c r="O118" s="22"/>
    </row>
    <row r="119" customFormat="false" ht="15" hidden="false" customHeight="false" outlineLevel="0" collapsed="false">
      <c r="A119" s="14"/>
      <c r="B119" s="14"/>
      <c r="C119" s="14"/>
      <c r="D119" s="14"/>
      <c r="E119" s="15"/>
      <c r="F119" s="16"/>
      <c r="G119" s="12" t="str">
        <f aca="true">IF($A119="","",IF($F119="","",TODAY()-$F119))</f>
        <v/>
      </c>
      <c r="H119" s="12" t="str">
        <f aca="false">IF($A119="","",IF($F119="","",IF($G119&lt;=30,"Yes","No")))</f>
        <v/>
      </c>
      <c r="I119" s="14"/>
      <c r="J119" s="14"/>
      <c r="K119" s="12" t="str">
        <f aca="false">IF($A119="","",IF($H119&lt;&gt;"Yes",0,IF(OR($C119="Clothing",$C119="Jewellery",$C119="Perfume",$C119="Beauty",$C119="Food"),25,0)+IF($I119="None",30,IF($I119="Link-in-bio",30,IF($I119="Own site",15,0)))+IF($E119="",10,IF($E119&lt;1000,10,IF($E119&lt;=50000,25,IF($E119&lt;=150000,15,5))))+IF($J119="Yes",20,0)))</f>
        <v/>
      </c>
      <c r="L119" s="12" t="str">
        <f aca="false">IF($A119="","",IF($K119&gt;=75,"High",IF($K119&gt;=50,"Medium",IF($K119=0,"Skip","Low"))))</f>
        <v/>
      </c>
      <c r="M119" s="16"/>
      <c r="N119" s="14"/>
      <c r="O119" s="17"/>
    </row>
    <row r="120" customFormat="false" ht="15" hidden="false" customHeight="false" outlineLevel="0" collapsed="false">
      <c r="A120" s="18"/>
      <c r="B120" s="18"/>
      <c r="C120" s="18"/>
      <c r="D120" s="18"/>
      <c r="E120" s="19"/>
      <c r="F120" s="20"/>
      <c r="G120" s="21" t="str">
        <f aca="true">IF($A120="","",IF($F120="","",TODAY()-$F120))</f>
        <v/>
      </c>
      <c r="H120" s="21" t="str">
        <f aca="false">IF($A120="","",IF($F120="","",IF($G120&lt;=30,"Yes","No")))</f>
        <v/>
      </c>
      <c r="I120" s="18"/>
      <c r="J120" s="18"/>
      <c r="K120" s="21" t="str">
        <f aca="false">IF($A120="","",IF($H120&lt;&gt;"Yes",0,IF(OR($C120="Clothing",$C120="Jewellery",$C120="Perfume",$C120="Beauty",$C120="Food"),25,0)+IF($I120="None",30,IF($I120="Link-in-bio",30,IF($I120="Own site",15,0)))+IF($E120="",10,IF($E120&lt;1000,10,IF($E120&lt;=50000,25,IF($E120&lt;=150000,15,5))))+IF($J120="Yes",20,0)))</f>
        <v/>
      </c>
      <c r="L120" s="21" t="str">
        <f aca="false">IF($A120="","",IF($K120&gt;=75,"High",IF($K120&gt;=50,"Medium",IF($K120=0,"Skip","Low"))))</f>
        <v/>
      </c>
      <c r="M120" s="20"/>
      <c r="N120" s="18"/>
      <c r="O120" s="22"/>
    </row>
    <row r="121" customFormat="false" ht="15" hidden="false" customHeight="false" outlineLevel="0" collapsed="false">
      <c r="A121" s="14"/>
      <c r="B121" s="14"/>
      <c r="C121" s="14"/>
      <c r="D121" s="14"/>
      <c r="E121" s="15"/>
      <c r="F121" s="16"/>
      <c r="G121" s="12" t="str">
        <f aca="true">IF($A121="","",IF($F121="","",TODAY()-$F121))</f>
        <v/>
      </c>
      <c r="H121" s="12" t="str">
        <f aca="false">IF($A121="","",IF($F121="","",IF($G121&lt;=30,"Yes","No")))</f>
        <v/>
      </c>
      <c r="I121" s="14"/>
      <c r="J121" s="14"/>
      <c r="K121" s="12" t="str">
        <f aca="false">IF($A121="","",IF($H121&lt;&gt;"Yes",0,IF(OR($C121="Clothing",$C121="Jewellery",$C121="Perfume",$C121="Beauty",$C121="Food"),25,0)+IF($I121="None",30,IF($I121="Link-in-bio",30,IF($I121="Own site",15,0)))+IF($E121="",10,IF($E121&lt;1000,10,IF($E121&lt;=50000,25,IF($E121&lt;=150000,15,5))))+IF($J121="Yes",20,0)))</f>
        <v/>
      </c>
      <c r="L121" s="12" t="str">
        <f aca="false">IF($A121="","",IF($K121&gt;=75,"High",IF($K121&gt;=50,"Medium",IF($K121=0,"Skip","Low"))))</f>
        <v/>
      </c>
      <c r="M121" s="16"/>
      <c r="N121" s="14"/>
      <c r="O121" s="17"/>
    </row>
    <row r="122" customFormat="false" ht="15" hidden="false" customHeight="false" outlineLevel="0" collapsed="false">
      <c r="A122" s="18"/>
      <c r="B122" s="18"/>
      <c r="C122" s="18"/>
      <c r="D122" s="18"/>
      <c r="E122" s="19"/>
      <c r="F122" s="20"/>
      <c r="G122" s="21" t="str">
        <f aca="true">IF($A122="","",IF($F122="","",TODAY()-$F122))</f>
        <v/>
      </c>
      <c r="H122" s="21" t="str">
        <f aca="false">IF($A122="","",IF($F122="","",IF($G122&lt;=30,"Yes","No")))</f>
        <v/>
      </c>
      <c r="I122" s="18"/>
      <c r="J122" s="18"/>
      <c r="K122" s="21" t="str">
        <f aca="false">IF($A122="","",IF($H122&lt;&gt;"Yes",0,IF(OR($C122="Clothing",$C122="Jewellery",$C122="Perfume",$C122="Beauty",$C122="Food"),25,0)+IF($I122="None",30,IF($I122="Link-in-bio",30,IF($I122="Own site",15,0)))+IF($E122="",10,IF($E122&lt;1000,10,IF($E122&lt;=50000,25,IF($E122&lt;=150000,15,5))))+IF($J122="Yes",20,0)))</f>
        <v/>
      </c>
      <c r="L122" s="21" t="str">
        <f aca="false">IF($A122="","",IF($K122&gt;=75,"High",IF($K122&gt;=50,"Medium",IF($K122=0,"Skip","Low"))))</f>
        <v/>
      </c>
      <c r="M122" s="20"/>
      <c r="N122" s="18"/>
      <c r="O122" s="22"/>
    </row>
  </sheetData>
  <dataValidations count="3">
    <dataValidation allowBlank="true" errorStyle="stop" operator="between" showDropDown="false" showErrorMessage="false" showInputMessage="false" sqref="C2:C122" type="list">
      <formula1>"Clothing,Jewellery,Perfume,Beauty,Food,Other"</formula1>
      <formula2>0</formula2>
    </dataValidation>
    <dataValidation allowBlank="true" errorStyle="stop" operator="between" showDropDown="false" showErrorMessage="false" showInputMessage="false" sqref="I2:I122" type="list">
      <formula1>"None,Link-in-bio,Own site"</formula1>
      <formula2>0</formula2>
    </dataValidation>
    <dataValidation allowBlank="true" errorStyle="stop" operator="between" showDropDown="false" showErrorMessage="false" showInputMessage="false" sqref="J2:J122 N2:N12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2026-09-19T15:13:34Z</dcterms:created>
  <dc:creator>openpyxl</dc:creator>
  <dc:description/>
  <dc:language>en-US</dc:language>
  <cp:lastModifiedBy/>
  <dcterms:modified xsi:type="dcterms:W3CDTF">2026-09-19T15:13:34Z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